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Treatment Plan" sheetId="2" state="visible" r:id="rId2"/>
    <sheet name="Cost-Benefit" sheetId="3" state="visible" r:id="rId3"/>
    <sheet name="Residual Risk" sheetId="4" state="visible" r:id="rId4"/>
    <sheet name="KPIs &amp; Monitoring" sheetId="5" state="visible" r:id="rId5"/>
    <sheet name="Timeline" sheetId="6" state="visible" r:id="rId6"/>
    <sheet name="Business Alignment" sheetId="7" state="visible" r:id="rId7"/>
  </sheets>
  <definedNames>
    <definedName name="_xlnm._FilterDatabase" localSheetId="0" hidden="1">'Controls'!$A$5:$R$21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&quot;×&quot;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7A90"/>
    </font>
    <font>
      <b val="1"/>
      <color rgb="00FFFFFF"/>
    </font>
    <font>
      <b val="1"/>
    </font>
    <font>
      <b val="1"/>
      <color rgb="001F3864"/>
    </font>
  </fonts>
  <fills count="8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F3864"/>
      </patternFill>
    </fill>
    <fill>
      <patternFill patternType="solid">
        <fgColor rgb="00DBE8F7"/>
      </patternFill>
    </fill>
    <fill>
      <patternFill patternType="solid">
        <fgColor rgb="00FDECC8"/>
      </patternFill>
    </fill>
    <fill>
      <patternFill patternType="solid">
        <fgColor rgb="00E6F2E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5" fillId="0" borderId="0" pivotButton="0" quotePrefix="0" xfId="0"/>
    <xf numFmtId="9" fontId="0" fillId="2" borderId="1" applyAlignment="1" pivotButton="0" quotePrefix="0" xfId="0">
      <alignment vertical="top" wrapText="1"/>
    </xf>
    <xf numFmtId="0" fontId="4" fillId="0" borderId="0" pivotButton="0" quotePrefix="0" xfId="0"/>
    <xf numFmtId="9" fontId="0" fillId="2" borderId="0" pivotButton="0" quotePrefix="0" xfId="0"/>
    <xf numFmtId="9" fontId="0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b val="1"/>
        <color rgb="00FFFFFF"/>
      </font>
      <fill>
        <patternFill patternType="solid">
          <fgColor rgb="00B3261E"/>
        </patternFill>
      </fill>
    </dxf>
    <dxf>
      <font>
        <b val="1"/>
        <color rgb="00FFFFFF"/>
      </font>
      <fill>
        <patternFill patternType="solid">
          <fgColor rgb="00E8710A"/>
        </patternFill>
      </fill>
    </dxf>
    <dxf>
      <font>
        <b val="1"/>
        <color rgb="00222222"/>
      </font>
      <fill>
        <patternFill patternType="solid">
          <fgColor rgb="00F2C037"/>
        </patternFill>
      </fill>
    </dxf>
    <dxf>
      <font>
        <b val="1"/>
        <color rgb="00FFFFFF"/>
      </font>
      <fill>
        <patternFill patternType="solid">
          <fgColor rgb="005AA469"/>
        </patternFill>
      </fill>
    </dxf>
    <dxf>
      <font>
        <b val="1"/>
        <color rgb="00222222"/>
      </font>
      <fill>
        <patternFill patternType="solid">
          <fgColor rgb="009FB3CF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ont>
        <color rgb="004A6FA5"/>
      </font>
      <fill>
        <patternFill patternType="solid">
          <fgColor rgb="004A6F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R22"/>
  <sheetViews>
    <sheetView zoomScale="11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50" customWidth="1" min="5" max="5"/>
    <col width="20" customWidth="1" min="6" max="6"/>
    <col width="30" customWidth="1" min="7" max="7"/>
    <col width="18" customWidth="1" min="8" max="8"/>
    <col width="9" customWidth="1" min="9" max="9"/>
    <col width="11" customWidth="1" min="10" max="10"/>
    <col width="11" customWidth="1" min="11" max="11"/>
    <col width="11" customWidth="1" min="12" max="12"/>
    <col width="12" customWidth="1" min="13" max="13"/>
    <col width="7" customWidth="1" min="14" max="14"/>
    <col width="8" customWidth="1" min="15" max="15"/>
    <col width="7" customWidth="1" min="16" max="16"/>
    <col width="12" customWidth="1" min="17" max="17"/>
    <col width="50" customWidth="1" min="18" max="18"/>
  </cols>
  <sheetData>
    <row r="1">
      <c r="A1" s="1" t="inlineStr">
        <is>
          <t>HVMC Risk Mitigation Plan — Selected Controls</t>
        </is>
      </c>
    </row>
    <row r="2">
      <c r="A2" s="2" t="inlineStr">
        <is>
          <t>October 14, 2026 · Labour $75/h (cell B3) · one-time cost amortized over 3 years (cell D3) · yellow = inputs</t>
        </is>
      </c>
    </row>
    <row r="3">
      <c r="A3" t="inlineStr">
        <is>
          <t>Labour $/h</t>
        </is>
      </c>
      <c r="B3" s="3" t="n">
        <v>75</v>
      </c>
      <c r="C3" t="inlineStr">
        <is>
          <t>Amortize (years)</t>
        </is>
      </c>
      <c r="D3" s="3" t="n">
        <v>3</v>
      </c>
    </row>
    <row r="5" ht="32" customHeight="1">
      <c r="A5" s="4" t="inlineStr">
        <is>
          <t>ID</t>
        </is>
      </c>
      <c r="B5" s="4" t="inlineStr">
        <is>
          <t>Control</t>
        </is>
      </c>
      <c r="C5" s="4" t="inlineStr">
        <is>
          <t>Strategy</t>
        </is>
      </c>
      <c r="D5" s="4" t="inlineStr">
        <is>
          <t>Treats</t>
        </is>
      </c>
      <c r="E5" s="4" t="inlineStr">
        <is>
          <t>Description</t>
        </is>
      </c>
      <c r="F5" s="4" t="inlineStr">
        <is>
          <t>NIST CSF 2.0</t>
        </is>
      </c>
      <c r="G5" s="4" t="inlineStr">
        <is>
          <t>ISO/IEC 27001:2022 Annex A</t>
        </is>
      </c>
      <c r="H5" s="4" t="inlineStr">
        <is>
          <t>Owner</t>
        </is>
      </c>
      <c r="I5" s="4" t="inlineStr">
        <is>
          <t>Labour hours</t>
        </is>
      </c>
      <c r="J5" s="4" t="inlineStr">
        <is>
          <t>Other one-time $</t>
        </is>
      </c>
      <c r="K5" s="4" t="inlineStr">
        <is>
          <t>One-time cost</t>
        </is>
      </c>
      <c r="L5" s="4" t="inlineStr">
        <is>
          <t>Annual cost</t>
        </is>
      </c>
      <c r="M5" s="4" t="inlineStr">
        <is>
          <t>Annualized cost</t>
        </is>
      </c>
      <c r="N5" s="4" t="inlineStr">
        <is>
          <t>Phase</t>
        </is>
      </c>
      <c r="O5" s="4" t="inlineStr">
        <is>
          <t>Start week</t>
        </is>
      </c>
      <c r="P5" s="4" t="inlineStr">
        <is>
          <t>Weeks</t>
        </is>
      </c>
      <c r="Q5" s="4" t="inlineStr">
        <is>
          <t>Objectives</t>
        </is>
      </c>
      <c r="R5" s="4" t="inlineStr">
        <is>
          <t>Rationale</t>
        </is>
      </c>
    </row>
    <row r="6" ht="60" customHeight="1">
      <c r="A6" s="5" t="inlineStr">
        <is>
          <t>C01</t>
        </is>
      </c>
      <c r="B6" s="5" t="inlineStr">
        <is>
          <t>Central logging, alerting and flow logs</t>
        </is>
      </c>
      <c r="C6" s="6" t="inlineStr">
        <is>
          <t>Mitigate</t>
        </is>
      </c>
      <c r="D6" s="5" t="inlineStr">
        <is>
          <t>R01</t>
        </is>
      </c>
      <c r="E6" s="5" t="inlineStr">
        <is>
          <t>Log Analytics workspace; subscription activity log, storage and Entra audit logs via diagnostic settings; activity-log alert rules for NSG/policy/role changes; VNet flow logs</t>
        </is>
      </c>
      <c r="F6" s="5" t="inlineStr">
        <is>
          <t>DE.CM-01, DE.CM-09, DE.AE-02</t>
        </is>
      </c>
      <c r="G6" s="5" t="inlineStr">
        <is>
          <t>8.15 Logging; 8.16 Monitoring activities</t>
        </is>
      </c>
      <c r="H6" s="5" t="inlineStr">
        <is>
          <t>Fatima Ali</t>
        </is>
      </c>
      <c r="I6" s="7" t="n">
        <v>24</v>
      </c>
      <c r="J6" s="8" t="n">
        <v>0</v>
      </c>
      <c r="K6" s="9">
        <f>I6*$B$3+J6</f>
        <v/>
      </c>
      <c r="L6" s="8" t="n">
        <v>331</v>
      </c>
      <c r="M6" s="9">
        <f>L6+K6/$D$3</f>
        <v/>
      </c>
      <c r="N6" s="5" t="n">
        <v>2</v>
      </c>
      <c r="O6" s="5" t="n">
        <v>3</v>
      </c>
      <c r="P6" s="5" t="n">
        <v>2</v>
      </c>
      <c r="Q6" s="5" t="inlineStr">
        <is>
          <t>O2, O3, O1</t>
        </is>
      </c>
      <c r="R6" s="5" t="inlineStr">
        <is>
          <t>Closes the top-ranked risk; detection is a prerequisite for every other response. Required by HIPAA §164.312(b).</t>
        </is>
      </c>
    </row>
    <row r="7" ht="60" customHeight="1">
      <c r="A7" s="5" t="inlineStr">
        <is>
          <t>C02</t>
        </is>
      </c>
      <c r="B7" s="5" t="inlineStr">
        <is>
          <t>EHR storage network lockdown</t>
        </is>
      </c>
      <c r="C7" s="6" t="inlineStr">
        <is>
          <t>Mitigate</t>
        </is>
      </c>
      <c r="D7" s="5" t="inlineStr">
        <is>
          <t>R02</t>
        </is>
      </c>
      <c r="E7" s="5" t="inlineStr">
        <is>
          <t>Disable public network access and shared-key auth on hvmcehrstorage; private endpoint in HVMC-Data-Subnet; access only via Entra RBAC</t>
        </is>
      </c>
      <c r="F7" s="5" t="inlineStr">
        <is>
          <t>PR.AA-05, PR.DS-01, PR.IR-01</t>
        </is>
      </c>
      <c r="G7" s="5" t="inlineStr">
        <is>
          <t>8.3 Information access restriction; 8.20 Networks security; 5.23 Cloud services</t>
        </is>
      </c>
      <c r="H7" s="5" t="inlineStr">
        <is>
          <t>Fatima Ali</t>
        </is>
      </c>
      <c r="I7" s="7" t="n">
        <v>16</v>
      </c>
      <c r="J7" s="8" t="n">
        <v>0</v>
      </c>
      <c r="K7" s="9">
        <f>I7*$B$3+J7</f>
        <v/>
      </c>
      <c r="L7" s="8" t="n">
        <v>90</v>
      </c>
      <c r="M7" s="9">
        <f>L7+K7/$D$3</f>
        <v/>
      </c>
      <c r="N7" s="5" t="n">
        <v>1</v>
      </c>
      <c r="O7" s="5" t="n">
        <v>1</v>
      </c>
      <c r="P7" s="5" t="n">
        <v>1</v>
      </c>
      <c r="Q7" s="5" t="inlineStr">
        <is>
          <t>O2, O3</t>
        </is>
      </c>
      <c r="R7" s="5" t="inlineStr">
        <is>
          <t>One leaked key currently exposes all ePHI; private access removes the internet path entirely.</t>
        </is>
      </c>
    </row>
    <row r="8" ht="60" customHeight="1">
      <c r="A8" s="5" t="inlineStr">
        <is>
          <t>C03</t>
        </is>
      </c>
      <c r="B8" s="5" t="inlineStr">
        <is>
          <t>Enforced network segmentation</t>
        </is>
      </c>
      <c r="C8" s="6" t="inlineStr">
        <is>
          <t>Mitigate</t>
        </is>
      </c>
      <c r="D8" s="5" t="inlineStr">
        <is>
          <t>R03</t>
        </is>
      </c>
      <c r="E8" s="5" t="inlineStr">
        <is>
          <t>Explicit Deny-All-VNet-Inbound (priority 4000) on Data and App NSGs; Azure Policy to audit NSGs lacking the rule</t>
        </is>
      </c>
      <c r="F8" s="5" t="inlineStr">
        <is>
          <t>PR.IR-01, PR.PS-01</t>
        </is>
      </c>
      <c r="G8" s="5" t="inlineStr">
        <is>
          <t>8.22 Segregation of networks; 8.20 Networks security</t>
        </is>
      </c>
      <c r="H8" s="5" t="inlineStr">
        <is>
          <t>Fatima Ali</t>
        </is>
      </c>
      <c r="I8" s="7" t="n">
        <v>8</v>
      </c>
      <c r="J8" s="8" t="n">
        <v>0</v>
      </c>
      <c r="K8" s="9">
        <f>I8*$B$3+J8</f>
        <v/>
      </c>
      <c r="L8" s="8" t="n">
        <v>0</v>
      </c>
      <c r="M8" s="9">
        <f>L8+K8/$D$3</f>
        <v/>
      </c>
      <c r="N8" s="5" t="n">
        <v>1</v>
      </c>
      <c r="O8" s="5" t="n">
        <v>1</v>
      </c>
      <c r="P8" s="5" t="n">
        <v>1</v>
      </c>
      <c r="Q8" s="5" t="inlineStr">
        <is>
          <t>O1, O2</t>
        </is>
      </c>
      <c r="R8" s="5" t="inlineStr">
        <is>
          <t>Default AllowVnetInBound undoes the three-tier design; a deny rule restores it at zero licence cost.</t>
        </is>
      </c>
    </row>
    <row r="9" ht="60" customHeight="1">
      <c r="A9" s="5" t="inlineStr">
        <is>
          <t>C04</t>
        </is>
      </c>
      <c r="B9" s="5" t="inlineStr">
        <is>
          <t>Privileged access resilience</t>
        </is>
      </c>
      <c r="C9" s="6" t="inlineStr">
        <is>
          <t>Mitigate</t>
        </is>
      </c>
      <c r="D9" s="5" t="inlineStr">
        <is>
          <t>R04</t>
        </is>
      </c>
      <c r="E9" s="5" t="inlineStr">
        <is>
          <t>Two cloud-only break-glass Global Admins (offline credentials, sign-in alert); second named admin; Privileged Identity Management for just-in-time elevation</t>
        </is>
      </c>
      <c r="F9" s="5" t="inlineStr">
        <is>
          <t>PR.AA-05, GV.RR-02</t>
        </is>
      </c>
      <c r="G9" s="5" t="inlineStr">
        <is>
          <t>8.2 Privileged access rights; 5.3 Segregation of duties</t>
        </is>
      </c>
      <c r="H9" s="5" t="inlineStr">
        <is>
          <t>Sabitha S Karanavar</t>
        </is>
      </c>
      <c r="I9" s="7" t="n">
        <v>8</v>
      </c>
      <c r="J9" s="8" t="n">
        <v>0</v>
      </c>
      <c r="K9" s="9">
        <f>I9*$B$3+J9</f>
        <v/>
      </c>
      <c r="L9" s="8" t="n">
        <v>216</v>
      </c>
      <c r="M9" s="9">
        <f>L9+K9/$D$3</f>
        <v/>
      </c>
      <c r="N9" s="5" t="n">
        <v>1</v>
      </c>
      <c r="O9" s="5" t="n">
        <v>1</v>
      </c>
      <c r="P9" s="5" t="n">
        <v>1</v>
      </c>
      <c r="Q9" s="5" t="inlineStr">
        <is>
          <t>O1, O2</t>
        </is>
      </c>
      <c r="R9" s="5" t="inlineStr">
        <is>
          <t>Removes the single point of failure found in the BIA; PIM needs Entra ID P2 for 2 admins (2 × $9/month).</t>
        </is>
      </c>
    </row>
    <row r="10" ht="60" customHeight="1">
      <c r="A10" s="5" t="inlineStr">
        <is>
          <t>C05</t>
        </is>
      </c>
      <c r="B10" s="5" t="inlineStr">
        <is>
          <t>Ransomware-resilient recovery</t>
        </is>
      </c>
      <c r="C10" s="6" t="inlineStr">
        <is>
          <t>Mitigate</t>
        </is>
      </c>
      <c r="D10" s="5" t="inlineStr">
        <is>
          <t>R05</t>
        </is>
      </c>
      <c r="E10" s="5" t="inlineStr">
        <is>
          <t>Blob versioning; 30-day soft delete; Azure Backup vaulted backup with immutability; quarterly restore test against BIA RTO 4 h / RPO 15 min</t>
        </is>
      </c>
      <c r="F10" s="5" t="inlineStr">
        <is>
          <t>PR.DS-11, PR.IR-03, RC.RP-01</t>
        </is>
      </c>
      <c r="G10" s="5" t="inlineStr">
        <is>
          <t>8.13 Information backup; 8.14 Redundancy; 5.30 ICT readiness for business continuity</t>
        </is>
      </c>
      <c r="H10" s="5" t="inlineStr">
        <is>
          <t>Fatima Ali</t>
        </is>
      </c>
      <c r="I10" s="7" t="n">
        <v>16</v>
      </c>
      <c r="J10" s="8" t="n">
        <v>0</v>
      </c>
      <c r="K10" s="9">
        <f>I10*$B$3+J10</f>
        <v/>
      </c>
      <c r="L10" s="8" t="n">
        <v>2400</v>
      </c>
      <c r="M10" s="9">
        <f>L10+K10/$D$3</f>
        <v/>
      </c>
      <c r="N10" s="5" t="n">
        <v>2</v>
      </c>
      <c r="O10" s="5" t="n">
        <v>3</v>
      </c>
      <c r="P10" s="5" t="n">
        <v>3</v>
      </c>
      <c r="Q10" s="5" t="inlineStr">
        <is>
          <t>O1, O4, O2</t>
        </is>
      </c>
      <c r="R10" s="5" t="inlineStr">
        <is>
          <t>Versioning is off today, so encrypted blobs cannot be rolled back; this meets the BIA RPO.</t>
        </is>
      </c>
    </row>
    <row r="11" ht="60" customHeight="1">
      <c r="A11" s="5" t="inlineStr">
        <is>
          <t>C06</t>
        </is>
      </c>
      <c r="B11" s="5" t="inlineStr">
        <is>
          <t>Malware scanning for EHR uploads</t>
        </is>
      </c>
      <c r="C11" s="6" t="inlineStr">
        <is>
          <t>Mitigate</t>
        </is>
      </c>
      <c r="D11" s="5" t="inlineStr">
        <is>
          <t>R11</t>
        </is>
      </c>
      <c r="E11" s="5" t="inlineStr">
        <is>
          <t>Microsoft Defender for Storage with on-upload malware scanning; security contact email for alerts</t>
        </is>
      </c>
      <c r="F11" s="5" t="inlineStr">
        <is>
          <t>DE.CM-09, DE.AE-02</t>
        </is>
      </c>
      <c r="G11" s="5" t="inlineStr">
        <is>
          <t>8.7 Protection against malware; 8.16 Monitoring activities</t>
        </is>
      </c>
      <c r="H11" s="5" t="inlineStr">
        <is>
          <t>Denise Coleman</t>
        </is>
      </c>
      <c r="I11" s="7" t="n">
        <v>2</v>
      </c>
      <c r="J11" s="8" t="n">
        <v>0</v>
      </c>
      <c r="K11" s="9">
        <f>I11*$B$3+J11</f>
        <v/>
      </c>
      <c r="L11" s="8" t="n">
        <v>210</v>
      </c>
      <c r="M11" s="9">
        <f>L11+K11/$D$3</f>
        <v/>
      </c>
      <c r="N11" s="5" t="n">
        <v>2</v>
      </c>
      <c r="O11" s="5" t="n">
        <v>4</v>
      </c>
      <c r="P11" s="5" t="n">
        <v>1</v>
      </c>
      <c r="Q11" s="5" t="inlineStr">
        <is>
          <t>O1, O3</t>
        </is>
      </c>
      <c r="R11" s="5" t="inlineStr">
        <is>
          <t>Files arrive from many clinical devices; scanning stops malware spreading through shared storage.</t>
        </is>
      </c>
    </row>
    <row r="12" ht="60" customHeight="1">
      <c r="A12" s="5" t="inlineStr">
        <is>
          <t>C07</t>
        </is>
      </c>
      <c r="B12" s="5" t="inlineStr">
        <is>
          <t>Conditional Access and phishing-resistant MFA</t>
        </is>
      </c>
      <c r="C12" s="6" t="inlineStr">
        <is>
          <t>Mitigate</t>
        </is>
      </c>
      <c r="D12" s="5" t="inlineStr">
        <is>
          <t>R12</t>
        </is>
      </c>
      <c r="E12" s="5" t="inlineStr">
        <is>
          <t>Entra ID P1 for 31 users; Conditional Access requiring phishing-resistant methods (passkeys in Microsoft Authenticator) for clinical and admin groups; sign-in risk blocking</t>
        </is>
      </c>
      <c r="F12" s="5" t="inlineStr">
        <is>
          <t>PR.AA-03, PR.AA-05</t>
        </is>
      </c>
      <c r="G12" s="5" t="inlineStr">
        <is>
          <t>8.5 Secure authentication; 5.17 Authentication information</t>
        </is>
      </c>
      <c r="H12" s="5" t="inlineStr">
        <is>
          <t>Sabitha S Karanavar</t>
        </is>
      </c>
      <c r="I12" s="7" t="n">
        <v>16</v>
      </c>
      <c r="J12" s="8" t="n">
        <v>0</v>
      </c>
      <c r="K12" s="9">
        <f>I12*$B$3+J12</f>
        <v/>
      </c>
      <c r="L12" s="8" t="n">
        <v>2232</v>
      </c>
      <c r="M12" s="9">
        <f>L12+K12/$D$3</f>
        <v/>
      </c>
      <c r="N12" s="5" t="n">
        <v>3</v>
      </c>
      <c r="O12" s="5" t="n">
        <v>6</v>
      </c>
      <c r="P12" s="5" t="n">
        <v>3</v>
      </c>
      <c r="Q12" s="5" t="inlineStr">
        <is>
          <t>O1, O2, O3</t>
        </is>
      </c>
      <c r="R12" s="5" t="inlineStr">
        <is>
          <t>Security defaults allow push/OTP MFA that AiTM kits can proxy; passkeys are bound to the real sign-in site.</t>
        </is>
      </c>
    </row>
    <row r="13" ht="60" customHeight="1">
      <c r="A13" s="5" t="inlineStr">
        <is>
          <t>C08</t>
        </is>
      </c>
      <c r="B13" s="5" t="inlineStr">
        <is>
          <t>Tenant hardening</t>
        </is>
      </c>
      <c r="C13" s="6" t="inlineStr">
        <is>
          <t>Mitigate</t>
        </is>
      </c>
      <c r="D13" s="5" t="inlineStr">
        <is>
          <t>R08</t>
        </is>
      </c>
      <c r="E13" s="5" t="inlineStr">
        <is>
          <t>Disable user app registration and tenant creation; restrict guest invites to admins; admin consent workflow</t>
        </is>
      </c>
      <c r="F13" s="5" t="inlineStr">
        <is>
          <t>PR.AA-05, PR.PS-01</t>
        </is>
      </c>
      <c r="G13" s="5" t="inlineStr">
        <is>
          <t>5.15 Access control; 8.9 Configuration management</t>
        </is>
      </c>
      <c r="H13" s="5" t="inlineStr">
        <is>
          <t>Sabitha S Karanavar</t>
        </is>
      </c>
      <c r="I13" s="7" t="n">
        <v>4</v>
      </c>
      <c r="J13" s="8" t="n">
        <v>0</v>
      </c>
      <c r="K13" s="9">
        <f>I13*$B$3+J13</f>
        <v/>
      </c>
      <c r="L13" s="8" t="n">
        <v>0</v>
      </c>
      <c r="M13" s="9">
        <f>L13+K13/$D$3</f>
        <v/>
      </c>
      <c r="N13" s="5" t="n">
        <v>1</v>
      </c>
      <c r="O13" s="5" t="n">
        <v>1</v>
      </c>
      <c r="P13" s="5" t="n">
        <v>1</v>
      </c>
      <c r="Q13" s="5" t="inlineStr">
        <is>
          <t>O2, O3</t>
        </is>
      </c>
      <c r="R13" s="5" t="inlineStr">
        <is>
          <t>Three insecure defaults found by the checklist; fixing them costs only configuration time.</t>
        </is>
      </c>
    </row>
    <row r="14" ht="60" customHeight="1">
      <c r="A14" s="5" t="inlineStr">
        <is>
          <t>C09</t>
        </is>
      </c>
      <c r="B14" s="5" t="inlineStr">
        <is>
          <t>EHR access auditing and owner review</t>
        </is>
      </c>
      <c r="C14" s="6" t="inlineStr">
        <is>
          <t>Mitigate</t>
        </is>
      </c>
      <c r="D14" s="5" t="inlineStr">
        <is>
          <t>R13</t>
        </is>
      </c>
      <c r="E14" s="5" t="inlineStr">
        <is>
          <t>Record-level EHR access logging; monthly review of unusual access by the system owner; reason-code prompt for out-of-unit records</t>
        </is>
      </c>
      <c r="F14" s="5" t="inlineStr">
        <is>
          <t>DE.CM-03, PR.AA-05</t>
        </is>
      </c>
      <c r="G14" s="5" t="inlineStr">
        <is>
          <t>8.15 Logging; 5.18 Access rights</t>
        </is>
      </c>
      <c r="H14" s="5" t="inlineStr">
        <is>
          <t>Denise Coleman</t>
        </is>
      </c>
      <c r="I14" s="7" t="n">
        <v>8</v>
      </c>
      <c r="J14" s="8" t="n">
        <v>0</v>
      </c>
      <c r="K14" s="9">
        <f>I14*$B$3+J14</f>
        <v/>
      </c>
      <c r="L14" s="8" t="n">
        <v>3600</v>
      </c>
      <c r="M14" s="9">
        <f>L14+K14/$D$3</f>
        <v/>
      </c>
      <c r="N14" s="5" t="n">
        <v>3</v>
      </c>
      <c r="O14" s="5" t="n">
        <v>6</v>
      </c>
      <c r="P14" s="5" t="n">
        <v>3</v>
      </c>
      <c r="Q14" s="5" t="inlineStr">
        <is>
          <t>O2, O3</t>
        </is>
      </c>
      <c r="R14" s="5" t="inlineStr">
        <is>
          <t>Snooping is the most common OCR complaint; visible auditing deters it and finds it early.</t>
        </is>
      </c>
    </row>
    <row r="15" ht="60" customHeight="1">
      <c r="A15" s="5" t="inlineStr">
        <is>
          <t>C10</t>
        </is>
      </c>
      <c r="B15" s="5" t="inlineStr">
        <is>
          <t>Sanction policy and training tracking</t>
        </is>
      </c>
      <c r="C15" s="6" t="inlineStr">
        <is>
          <t>Mitigate</t>
        </is>
      </c>
      <c r="D15" s="5" t="inlineStr">
        <is>
          <t>R14</t>
        </is>
      </c>
      <c r="E15" s="5" t="inlineStr">
        <is>
          <t>Written workforce sanction policy; annual HIPAA training with completion tracking</t>
        </is>
      </c>
      <c r="F15" s="5" t="inlineStr">
        <is>
          <t>PR.AT-01, GV.RR-04</t>
        </is>
      </c>
      <c r="G15" s="5" t="inlineStr">
        <is>
          <t>6.4 Disciplinary process; 6.3 Information security awareness, education and training</t>
        </is>
      </c>
      <c r="H15" s="5" t="inlineStr">
        <is>
          <t>Daniel Osei</t>
        </is>
      </c>
      <c r="I15" s="7" t="n">
        <v>12</v>
      </c>
      <c r="J15" s="8" t="n">
        <v>0</v>
      </c>
      <c r="K15" s="9">
        <f>I15*$B$3+J15</f>
        <v/>
      </c>
      <c r="L15" s="8" t="n">
        <v>500</v>
      </c>
      <c r="M15" s="9">
        <f>L15+K15/$D$3</f>
        <v/>
      </c>
      <c r="N15" s="5" t="n">
        <v>2</v>
      </c>
      <c r="O15" s="5" t="n">
        <v>3</v>
      </c>
      <c r="P15" s="5" t="n">
        <v>2</v>
      </c>
      <c r="Q15" s="5" t="inlineStr">
        <is>
          <t>O2</t>
        </is>
      </c>
      <c r="R15" s="5" t="inlineStr">
        <is>
          <t>Required HIPAA standard (§164.308(a)(1)(ii)(C)) and an easy audit finding to close.</t>
        </is>
      </c>
    </row>
    <row r="16" ht="60" customHeight="1">
      <c r="A16" s="5" t="inlineStr">
        <is>
          <t>C11</t>
        </is>
      </c>
      <c r="B16" s="5" t="inlineStr">
        <is>
          <t>Privacy Officer and breach procedure</t>
        </is>
      </c>
      <c r="C16" s="6" t="inlineStr">
        <is>
          <t>Mitigate</t>
        </is>
      </c>
      <c r="D16" s="5" t="inlineStr">
        <is>
          <t>R16</t>
        </is>
      </c>
      <c r="E16" s="5" t="inlineStr">
        <is>
          <t>Designate a Privacy Officer; documented breach-risk assessment and 60-day notification procedure; annual breach tabletop</t>
        </is>
      </c>
      <c r="F16" s="5" t="inlineStr">
        <is>
          <t>GV.RR-02, RS.CO-02</t>
        </is>
      </c>
      <c r="G16" s="5" t="inlineStr">
        <is>
          <t>5.2 Roles and responsibilities; 5.24 Incident management planning; 5.34 Privacy and protection of PII</t>
        </is>
      </c>
      <c r="H16" s="5" t="inlineStr">
        <is>
          <t>Denise Coleman</t>
        </is>
      </c>
      <c r="I16" s="7" t="n">
        <v>16</v>
      </c>
      <c r="J16" s="8" t="n">
        <v>0</v>
      </c>
      <c r="K16" s="9">
        <f>I16*$B$3+J16</f>
        <v/>
      </c>
      <c r="L16" s="8" t="n">
        <v>5000</v>
      </c>
      <c r="M16" s="9">
        <f>L16+K16/$D$3</f>
        <v/>
      </c>
      <c r="N16" s="5" t="n">
        <v>3</v>
      </c>
      <c r="O16" s="5" t="n">
        <v>5</v>
      </c>
      <c r="P16" s="5" t="n">
        <v>3</v>
      </c>
      <c r="Q16" s="5" t="inlineStr">
        <is>
          <t>O2, O3</t>
        </is>
      </c>
      <c r="R16" s="5" t="inlineStr">
        <is>
          <t>HIPAA requires the role; a clear owner stops the §164.404 deadline being missed.</t>
        </is>
      </c>
    </row>
    <row r="17" ht="60" customHeight="1">
      <c r="A17" s="5" t="inlineStr">
        <is>
          <t>C12</t>
        </is>
      </c>
      <c r="B17" s="5" t="inlineStr">
        <is>
          <t>Contractor lifecycle and BAA</t>
        </is>
      </c>
      <c r="C17" s="10" t="inlineStr">
        <is>
          <t>Transfer</t>
        </is>
      </c>
      <c r="D17" s="5" t="inlineStr">
        <is>
          <t>R06</t>
        </is>
      </c>
      <c r="E17" s="5" t="inlineStr">
        <is>
          <t>Business Associate Agreement with indemnification and proof of the contractor firm's cyber insurance; account end date and quarterly review</t>
        </is>
      </c>
      <c r="F17" s="5" t="inlineStr">
        <is>
          <t>GV.SC-05, PR.AA-01</t>
        </is>
      </c>
      <c r="G17" s="5" t="inlineStr">
        <is>
          <t>5.19 Supplier relationships; 5.20 Supplier agreements; 5.18 Access rights</t>
        </is>
      </c>
      <c r="H17" s="5" t="inlineStr">
        <is>
          <t>Kevin O'Brien</t>
        </is>
      </c>
      <c r="I17" s="7" t="n">
        <v>6</v>
      </c>
      <c r="J17" s="8" t="n">
        <v>1500</v>
      </c>
      <c r="K17" s="9">
        <f>I17*$B$3+J17</f>
        <v/>
      </c>
      <c r="L17" s="8" t="n">
        <v>0</v>
      </c>
      <c r="M17" s="9">
        <f>L17+K17/$D$3</f>
        <v/>
      </c>
      <c r="N17" s="5" t="n">
        <v>1</v>
      </c>
      <c r="O17" s="5" t="n">
        <v>1</v>
      </c>
      <c r="P17" s="5" t="n">
        <v>2</v>
      </c>
      <c r="Q17" s="5" t="inlineStr">
        <is>
          <t>O2, O4</t>
        </is>
      </c>
      <c r="R17" s="5" t="inlineStr">
        <is>
          <t>Transfers liability for contractor-caused breaches to the contractor firm and its insurer; expiry limits exposure time.</t>
        </is>
      </c>
    </row>
    <row r="18" ht="60" customHeight="1">
      <c r="A18" s="5" t="inlineStr">
        <is>
          <t>C13</t>
        </is>
      </c>
      <c r="B18" s="5" t="inlineStr">
        <is>
          <t>Decommission legacy public server</t>
        </is>
      </c>
      <c r="C18" s="11" t="inlineStr">
        <is>
          <t>Avoid</t>
        </is>
      </c>
      <c r="D18" s="5" t="inlineStr">
        <is>
          <t>R09, R10</t>
        </is>
      </c>
      <c r="E18" s="5" t="inlineStr">
        <is>
          <t>Remove the 2014-era SSH/Apache host from service and from DNS; migrate any needed content to a supported, patched platform</t>
        </is>
      </c>
      <c r="F18" s="5" t="inlineStr">
        <is>
          <t>ID.AM-08, PR.PS-02</t>
        </is>
      </c>
      <c r="G18" s="5" t="inlineStr">
        <is>
          <t>8.8 Management of technical vulnerabilities; 5.9 Inventory of information assets</t>
        </is>
      </c>
      <c r="H18" s="5" t="inlineStr">
        <is>
          <t>Kevin O'Brien</t>
        </is>
      </c>
      <c r="I18" s="7" t="n">
        <v>4</v>
      </c>
      <c r="J18" s="8" t="n">
        <v>0</v>
      </c>
      <c r="K18" s="9">
        <f>I18*$B$3+J18</f>
        <v/>
      </c>
      <c r="L18" s="8" t="n">
        <v>0</v>
      </c>
      <c r="M18" s="9">
        <f>L18+K18/$D$3</f>
        <v/>
      </c>
      <c r="N18" s="5" t="n">
        <v>1</v>
      </c>
      <c r="O18" s="5" t="n">
        <v>2</v>
      </c>
      <c r="P18" s="5" t="n">
        <v>1</v>
      </c>
      <c r="Q18" s="5" t="inlineStr">
        <is>
          <t>O3, O4</t>
        </is>
      </c>
      <c r="R18" s="5" t="inlineStr">
        <is>
          <t>The server holds no ePHI and supports no business process; removing it eliminates both CVE risks for less than patching cost.</t>
        </is>
      </c>
    </row>
    <row r="19" ht="60" customHeight="1">
      <c r="A19" s="5" t="inlineStr">
        <is>
          <t>C14</t>
        </is>
      </c>
      <c r="B19" s="5" t="inlineStr">
        <is>
          <t>Separate test from production</t>
        </is>
      </c>
      <c r="C19" s="11" t="inlineStr">
        <is>
          <t>Avoid</t>
        </is>
      </c>
      <c r="D19" s="5" t="inlineStr">
        <is>
          <t>R07</t>
        </is>
      </c>
      <c r="E19" s="5" t="inlineStr">
        <is>
          <t>Delete Test Nurse - EHR from the production tenant; run tests in a separate non-production subscription with synthetic data</t>
        </is>
      </c>
      <c r="F19" s="5" t="inlineStr">
        <is>
          <t>PR.AA-01, PR.PS-01</t>
        </is>
      </c>
      <c r="G19" s="5" t="inlineStr">
        <is>
          <t>8.31 Separation of development, test and production environments</t>
        </is>
      </c>
      <c r="H19" s="5" t="inlineStr">
        <is>
          <t>Sabitha S Karanavar</t>
        </is>
      </c>
      <c r="I19" s="7" t="n">
        <v>4</v>
      </c>
      <c r="J19" s="8" t="n">
        <v>0</v>
      </c>
      <c r="K19" s="9">
        <f>I19*$B$3+J19</f>
        <v/>
      </c>
      <c r="L19" s="8" t="n">
        <v>0</v>
      </c>
      <c r="M19" s="9">
        <f>L19+K19/$D$3</f>
        <v/>
      </c>
      <c r="N19" s="5" t="n">
        <v>1</v>
      </c>
      <c r="O19" s="5" t="n">
        <v>1</v>
      </c>
      <c r="P19" s="5" t="n">
        <v>1</v>
      </c>
      <c r="Q19" s="5" t="inlineStr">
        <is>
          <t>O2</t>
        </is>
      </c>
      <c r="R19" s="5" t="inlineStr">
        <is>
          <t>Eliminates a shared identity with ePHI access instead of trying to control it.</t>
        </is>
      </c>
    </row>
    <row r="20" ht="60" customHeight="1">
      <c r="A20" s="5" t="inlineStr">
        <is>
          <t>T01</t>
        </is>
      </c>
      <c r="B20" s="5" t="inlineStr">
        <is>
          <t>Cyber liability insurance</t>
        </is>
      </c>
      <c r="C20" s="10" t="inlineStr">
        <is>
          <t>Transfer</t>
        </is>
      </c>
      <c r="D20" s="5" t="inlineStr">
        <is>
          <t>R02, R05</t>
        </is>
      </c>
      <c r="E20" s="5" t="inlineStr">
        <is>
          <t>Cyber policy with $5M limit and $100K retention covering breach response, notification, regulatory defence and business interruption</t>
        </is>
      </c>
      <c r="F20" s="5" t="inlineStr">
        <is>
          <t>GV.RM-04</t>
        </is>
      </c>
      <c r="G20" s="5" t="inlineStr">
        <is>
          <t>5.19-adjacent (risk financing; outside Annex A)</t>
        </is>
      </c>
      <c r="H20" s="5" t="inlineStr">
        <is>
          <t>Brian Adeyemi</t>
        </is>
      </c>
      <c r="I20" s="7" t="n">
        <v>8</v>
      </c>
      <c r="J20" s="8" t="n">
        <v>0</v>
      </c>
      <c r="K20" s="9">
        <f>I20*$B$3+J20</f>
        <v/>
      </c>
      <c r="L20" s="8" t="n">
        <v>25000</v>
      </c>
      <c r="M20" s="9">
        <f>L20+K20/$D$3</f>
        <v/>
      </c>
      <c r="N20" s="5" t="n">
        <v>3</v>
      </c>
      <c r="O20" s="5" t="n">
        <v>7</v>
      </c>
      <c r="P20" s="5" t="n">
        <v>2</v>
      </c>
      <c r="Q20" s="5" t="inlineStr">
        <is>
          <t>O4</t>
        </is>
      </c>
      <c r="R20" s="5" t="inlineStr">
        <is>
          <t>Moves the financial tail of residual breach and ransomware losses to an insurer after controls lower the premium.</t>
        </is>
      </c>
    </row>
    <row r="21" ht="60" customHeight="1">
      <c r="A21" s="5" t="inlineStr">
        <is>
          <t>A01</t>
        </is>
      </c>
      <c r="B21" s="5" t="inlineStr">
        <is>
          <t>Formal acceptance — accidental deletion</t>
        </is>
      </c>
      <c r="C21" s="12" t="inlineStr">
        <is>
          <t>Accept</t>
        </is>
      </c>
      <c r="D21" s="5" t="inlineStr">
        <is>
          <t>R15</t>
        </is>
      </c>
      <c r="E21" s="5" t="inlineStr">
        <is>
          <t>Accept: weighted score 5.8 (Low) is within appetite; two experienced admins; RA-GRS keeps data if resources are rebuilt. Review annually.</t>
        </is>
      </c>
      <c r="F21" s="5" t="inlineStr">
        <is>
          <t>GV.RM-02</t>
        </is>
      </c>
      <c r="G21" s="5" t="inlineStr">
        <is>
          <t>Clause 6.1.3 (risk owner acceptance)</t>
        </is>
      </c>
      <c r="H21" s="5" t="inlineStr">
        <is>
          <t>Kevin O'Brien</t>
        </is>
      </c>
      <c r="I21" s="7" t="n">
        <v>1</v>
      </c>
      <c r="J21" s="8" t="n">
        <v>0</v>
      </c>
      <c r="K21" s="9">
        <f>I21*$B$3+J21</f>
        <v/>
      </c>
      <c r="L21" s="8" t="n">
        <v>0</v>
      </c>
      <c r="M21" s="9">
        <f>L21+K21/$D$3</f>
        <v/>
      </c>
      <c r="N21" s="5" t="n">
        <v>1</v>
      </c>
      <c r="O21" s="5" t="n">
        <v>1</v>
      </c>
      <c r="P21" s="5" t="n">
        <v>1</v>
      </c>
      <c r="Q21" s="5" t="inlineStr">
        <is>
          <t>O4</t>
        </is>
      </c>
      <c r="R21" s="5" t="inlineStr">
        <is>
          <t>Treatment cost would exceed benefit for a Low risk; acceptance is documented with a review trigger.</t>
        </is>
      </c>
    </row>
    <row r="22">
      <c r="B22" s="13" t="inlineStr">
        <is>
          <t>Total</t>
        </is>
      </c>
      <c r="I22" s="13">
        <f>SUM(I6:I21)</f>
        <v/>
      </c>
      <c r="K22" s="14">
        <f>SUM(K6:K21)</f>
        <v/>
      </c>
      <c r="L22" s="14">
        <f>SUM(L6:L21)</f>
        <v/>
      </c>
      <c r="M22" s="14">
        <f>SUM(M6:M21)</f>
        <v/>
      </c>
    </row>
  </sheetData>
  <autoFilter ref="A5:R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I20"/>
  <sheetViews>
    <sheetView zoomScale="11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18" customWidth="1" min="4" max="4"/>
    <col width="14" customWidth="1" min="5" max="5"/>
    <col width="10" customWidth="1" min="6" max="6"/>
    <col width="11" customWidth="1" min="7" max="7"/>
    <col width="12" customWidth="1" min="8" max="8"/>
    <col width="30" customWidth="1" min="9" max="9"/>
  </cols>
  <sheetData>
    <row r="1">
      <c r="A1" s="1" t="inlineStr">
        <is>
          <t>Risk Treatment Plan — all 16 risks</t>
        </is>
      </c>
    </row>
    <row r="2">
      <c r="A2" s="2" t="inlineStr">
        <is>
          <t>Every risk has a strategy (Avoid / Mitigate / Transfer / Accept), controls, owner and target</t>
        </is>
      </c>
    </row>
    <row r="4" ht="32" customHeight="1">
      <c r="A4" s="4" t="inlineStr">
        <is>
          <t>Risk</t>
        </is>
      </c>
      <c r="B4" s="4" t="inlineStr">
        <is>
          <t>Title</t>
        </is>
      </c>
      <c r="C4" s="4" t="inlineStr">
        <is>
          <t>Risk owner</t>
        </is>
      </c>
      <c r="D4" s="4" t="inlineStr">
        <is>
          <t>Strategy</t>
        </is>
      </c>
      <c r="E4" s="4" t="inlineStr">
        <is>
          <t>Controls</t>
        </is>
      </c>
      <c r="F4" s="4" t="inlineStr">
        <is>
          <t>Inherent score</t>
        </is>
      </c>
      <c r="G4" s="4" t="inlineStr">
        <is>
          <t>Inherent rating</t>
        </is>
      </c>
      <c r="H4" s="4" t="inlineStr">
        <is>
          <t>Target date</t>
        </is>
      </c>
      <c r="I4" s="4" t="inlineStr">
        <is>
          <t>Acceptance of residual by</t>
        </is>
      </c>
    </row>
    <row r="5">
      <c r="A5" s="5" t="inlineStr">
        <is>
          <t>R01</t>
        </is>
      </c>
      <c r="B5" s="5" t="inlineStr">
        <is>
          <t>Security incident goes undetected for months (no central logging or alerting)</t>
        </is>
      </c>
      <c r="C5" s="5" t="inlineStr">
        <is>
          <t>Fatima Ali</t>
        </is>
      </c>
      <c r="D5" s="5" t="inlineStr">
        <is>
          <t>Mitigate</t>
        </is>
      </c>
      <c r="E5" s="5" t="inlineStr">
        <is>
          <t>C01</t>
        </is>
      </c>
      <c r="F5" s="15" t="n">
        <v>16.64</v>
      </c>
      <c r="G5" s="5" t="inlineStr">
        <is>
          <t>High</t>
        </is>
      </c>
      <c r="H5" s="5" t="inlineStr">
        <is>
          <t>Week 4</t>
        </is>
      </c>
      <c r="I5" s="5" t="inlineStr">
        <is>
          <t>System owner + Security &amp; Risk Lead</t>
        </is>
      </c>
    </row>
    <row r="6">
      <c r="A6" s="5" t="inlineStr">
        <is>
          <t>R02</t>
        </is>
      </c>
      <c r="B6" s="5" t="inlineStr">
        <is>
          <t>ePHI exfiltration from EHR storage over the public internet</t>
        </is>
      </c>
      <c r="C6" s="5" t="inlineStr">
        <is>
          <t>Fatima Ali</t>
        </is>
      </c>
      <c r="D6" s="5" t="inlineStr">
        <is>
          <t>Mitigate + Transfer</t>
        </is>
      </c>
      <c r="E6" s="5" t="inlineStr">
        <is>
          <t>C02, T01</t>
        </is>
      </c>
      <c r="F6" s="15" t="n">
        <v>11.76</v>
      </c>
      <c r="G6" s="5" t="inlineStr">
        <is>
          <t>High</t>
        </is>
      </c>
      <c r="H6" s="5" t="inlineStr">
        <is>
          <t>Week 8</t>
        </is>
      </c>
      <c r="I6" s="5" t="inlineStr">
        <is>
          <t>Security Officer (Low)</t>
        </is>
      </c>
    </row>
    <row r="7">
      <c r="A7" s="5" t="inlineStr">
        <is>
          <t>R03</t>
        </is>
      </c>
      <c r="B7" s="5" t="inlineStr">
        <is>
          <t>Lateral movement from Web tier to Data tier</t>
        </is>
      </c>
      <c r="C7" s="5" t="inlineStr">
        <is>
          <t>Fatima Ali</t>
        </is>
      </c>
      <c r="D7" s="5" t="inlineStr">
        <is>
          <t>Mitigate</t>
        </is>
      </c>
      <c r="E7" s="5" t="inlineStr">
        <is>
          <t>C03</t>
        </is>
      </c>
      <c r="F7" s="15" t="n">
        <v>13.56</v>
      </c>
      <c r="G7" s="5" t="inlineStr">
        <is>
          <t>High</t>
        </is>
      </c>
      <c r="H7" s="5" t="inlineStr">
        <is>
          <t>Week 1</t>
        </is>
      </c>
      <c r="I7" s="5" t="inlineStr">
        <is>
          <t>Security Officer (Low)</t>
        </is>
      </c>
    </row>
    <row r="8">
      <c r="A8" s="5" t="inlineStr">
        <is>
          <t>R04</t>
        </is>
      </c>
      <c r="B8" s="5" t="inlineStr">
        <is>
          <t>Loss or takeover of the only Global Administrator account</t>
        </is>
      </c>
      <c r="C8" s="5" t="inlineStr">
        <is>
          <t>Sabitha S Karanavar</t>
        </is>
      </c>
      <c r="D8" s="5" t="inlineStr">
        <is>
          <t>Mitigate</t>
        </is>
      </c>
      <c r="E8" s="5" t="inlineStr">
        <is>
          <t>C04</t>
        </is>
      </c>
      <c r="F8" s="15" t="n">
        <v>9.720000000000001</v>
      </c>
      <c r="G8" s="5" t="inlineStr">
        <is>
          <t>Medium</t>
        </is>
      </c>
      <c r="H8" s="5" t="inlineStr">
        <is>
          <t>Week 1</t>
        </is>
      </c>
      <c r="I8" s="5" t="inlineStr">
        <is>
          <t>Security Officer (Low)</t>
        </is>
      </c>
    </row>
    <row r="9">
      <c r="A9" s="5" t="inlineStr">
        <is>
          <t>R05</t>
        </is>
      </c>
      <c r="B9" s="5" t="inlineStr">
        <is>
          <t>Ransomware or malicious deletion destroys EHR data</t>
        </is>
      </c>
      <c r="C9" s="5" t="inlineStr">
        <is>
          <t>Fatima Ali</t>
        </is>
      </c>
      <c r="D9" s="5" t="inlineStr">
        <is>
          <t>Mitigate + Transfer</t>
        </is>
      </c>
      <c r="E9" s="5" t="inlineStr">
        <is>
          <t>C05, T01</t>
        </is>
      </c>
      <c r="F9" s="15" t="n">
        <v>14.01</v>
      </c>
      <c r="G9" s="5" t="inlineStr">
        <is>
          <t>High</t>
        </is>
      </c>
      <c r="H9" s="5" t="inlineStr">
        <is>
          <t>Week 8</t>
        </is>
      </c>
      <c r="I9" s="5" t="inlineStr">
        <is>
          <t>System owner + Security &amp; Risk Lead</t>
        </is>
      </c>
    </row>
    <row r="10">
      <c r="A10" s="5" t="inlineStr">
        <is>
          <t>R06</t>
        </is>
      </c>
      <c r="B10" s="5" t="inlineStr">
        <is>
          <t>Contractor retains access after engagement ends; no BAA</t>
        </is>
      </c>
      <c r="C10" s="5" t="inlineStr">
        <is>
          <t>Kevin O'Brien</t>
        </is>
      </c>
      <c r="D10" s="5" t="inlineStr">
        <is>
          <t>Transfer</t>
        </is>
      </c>
      <c r="E10" s="5" t="inlineStr">
        <is>
          <t>C12</t>
        </is>
      </c>
      <c r="F10" s="15" t="n">
        <v>4.6</v>
      </c>
      <c r="G10" s="5" t="inlineStr">
        <is>
          <t>Low</t>
        </is>
      </c>
      <c r="H10" s="5" t="inlineStr">
        <is>
          <t>Week 2</t>
        </is>
      </c>
      <c r="I10" s="5" t="inlineStr">
        <is>
          <t>Security Officer (Low)</t>
        </is>
      </c>
    </row>
    <row r="11">
      <c r="A11" s="5" t="inlineStr">
        <is>
          <t>R07</t>
        </is>
      </c>
      <c r="B11" s="5" t="inlineStr">
        <is>
          <t>Shared test account in production can read ePHI</t>
        </is>
      </c>
      <c r="C11" s="5" t="inlineStr">
        <is>
          <t>Sabitha S Karanavar</t>
        </is>
      </c>
      <c r="D11" s="5" t="inlineStr">
        <is>
          <t>Avoid</t>
        </is>
      </c>
      <c r="E11" s="5" t="inlineStr">
        <is>
          <t>C14</t>
        </is>
      </c>
      <c r="F11" s="15" t="n">
        <v>3.56</v>
      </c>
      <c r="G11" s="5" t="inlineStr">
        <is>
          <t>Low</t>
        </is>
      </c>
      <c r="H11" s="5" t="inlineStr">
        <is>
          <t>Week 1</t>
        </is>
      </c>
      <c r="I11" s="5" t="inlineStr">
        <is>
          <t>n/a</t>
        </is>
      </c>
    </row>
    <row r="12">
      <c r="A12" s="5" t="inlineStr">
        <is>
          <t>R08</t>
        </is>
      </c>
      <c r="B12" s="5" t="inlineStr">
        <is>
          <t>Consent phishing or rogue app via open tenant settings</t>
        </is>
      </c>
      <c r="C12" s="5" t="inlineStr">
        <is>
          <t>Sabitha S Karanavar</t>
        </is>
      </c>
      <c r="D12" s="5" t="inlineStr">
        <is>
          <t>Mitigate</t>
        </is>
      </c>
      <c r="E12" s="5" t="inlineStr">
        <is>
          <t>C08</t>
        </is>
      </c>
      <c r="F12" s="15" t="n">
        <v>8.91</v>
      </c>
      <c r="G12" s="5" t="inlineStr">
        <is>
          <t>Medium</t>
        </is>
      </c>
      <c r="H12" s="5" t="inlineStr">
        <is>
          <t>Week 1</t>
        </is>
      </c>
      <c r="I12" s="5" t="inlineStr">
        <is>
          <t>Security Officer (Low)</t>
        </is>
      </c>
    </row>
    <row r="13">
      <c r="A13" s="5" t="inlineStr">
        <is>
          <t>R09</t>
        </is>
      </c>
      <c r="B13" s="5" t="inlineStr">
        <is>
          <t>Remote code execution via OpenSSH 6.6.1p1 (CVE-2023-38408, CVSS 9.8)</t>
        </is>
      </c>
      <c r="C13" s="5" t="inlineStr">
        <is>
          <t>Kevin O'Brien</t>
        </is>
      </c>
      <c r="D13" s="5" t="inlineStr">
        <is>
          <t>Avoid</t>
        </is>
      </c>
      <c r="E13" s="5" t="inlineStr">
        <is>
          <t>C13</t>
        </is>
      </c>
      <c r="F13" s="15" t="n">
        <v>9.57</v>
      </c>
      <c r="G13" s="5" t="inlineStr">
        <is>
          <t>Medium</t>
        </is>
      </c>
      <c r="H13" s="5" t="inlineStr">
        <is>
          <t>Week 2</t>
        </is>
      </c>
      <c r="I13" s="5" t="inlineStr">
        <is>
          <t>n/a</t>
        </is>
      </c>
    </row>
    <row r="14">
      <c r="A14" s="5" t="inlineStr">
        <is>
          <t>R10</t>
        </is>
      </c>
      <c r="B14" s="5" t="inlineStr">
        <is>
          <t>Remote code execution via Apache 2.4.7 mod_lua (CVE-2021-44790, CVSS 9.8)</t>
        </is>
      </c>
      <c r="C14" s="5" t="inlineStr">
        <is>
          <t>Kevin O'Brien</t>
        </is>
      </c>
      <c r="D14" s="5" t="inlineStr">
        <is>
          <t>Avoid</t>
        </is>
      </c>
      <c r="E14" s="5" t="inlineStr">
        <is>
          <t>C13</t>
        </is>
      </c>
      <c r="F14" s="15" t="n">
        <v>12.76</v>
      </c>
      <c r="G14" s="5" t="inlineStr">
        <is>
          <t>High</t>
        </is>
      </c>
      <c r="H14" s="5" t="inlineStr">
        <is>
          <t>Week 2</t>
        </is>
      </c>
      <c r="I14" s="5" t="inlineStr">
        <is>
          <t>n/a</t>
        </is>
      </c>
    </row>
    <row r="15">
      <c r="A15" s="5" t="inlineStr">
        <is>
          <t>R11</t>
        </is>
      </c>
      <c r="B15" s="5" t="inlineStr">
        <is>
          <t>Malware uploaded to EHR storage is not detected</t>
        </is>
      </c>
      <c r="C15" s="5" t="inlineStr">
        <is>
          <t>Denise Coleman</t>
        </is>
      </c>
      <c r="D15" s="5" t="inlineStr">
        <is>
          <t>Mitigate</t>
        </is>
      </c>
      <c r="E15" s="5" t="inlineStr">
        <is>
          <t>C06</t>
        </is>
      </c>
      <c r="F15" s="15" t="n">
        <v>10.08</v>
      </c>
      <c r="G15" s="5" t="inlineStr">
        <is>
          <t>Medium</t>
        </is>
      </c>
      <c r="H15" s="5" t="inlineStr">
        <is>
          <t>Week 4</t>
        </is>
      </c>
      <c r="I15" s="5" t="inlineStr">
        <is>
          <t>Security Officer (Low)</t>
        </is>
      </c>
    </row>
    <row r="16">
      <c r="A16" s="5" t="inlineStr">
        <is>
          <t>R12</t>
        </is>
      </c>
      <c r="B16" s="5" t="inlineStr">
        <is>
          <t>Clinician credentials stolen by MFA-bypass (AiTM) phishing</t>
        </is>
      </c>
      <c r="C16" s="5" t="inlineStr">
        <is>
          <t>Denise Coleman</t>
        </is>
      </c>
      <c r="D16" s="5" t="inlineStr">
        <is>
          <t>Mitigate</t>
        </is>
      </c>
      <c r="E16" s="5" t="inlineStr">
        <is>
          <t>C07</t>
        </is>
      </c>
      <c r="F16" s="15" t="n">
        <v>8.91</v>
      </c>
      <c r="G16" s="5" t="inlineStr">
        <is>
          <t>Medium</t>
        </is>
      </c>
      <c r="H16" s="5" t="inlineStr">
        <is>
          <t>Week 8</t>
        </is>
      </c>
      <c r="I16" s="5" t="inlineStr">
        <is>
          <t>Security Officer (Low)</t>
        </is>
      </c>
    </row>
    <row r="17">
      <c r="A17" s="5" t="inlineStr">
        <is>
          <t>R13</t>
        </is>
      </c>
      <c r="B17" s="5" t="inlineStr">
        <is>
          <t>Workforce member views patient records without a care need (snooping)</t>
        </is>
      </c>
      <c r="C17" s="5" t="inlineStr">
        <is>
          <t>Denise Coleman</t>
        </is>
      </c>
      <c r="D17" s="5" t="inlineStr">
        <is>
          <t>Mitigate</t>
        </is>
      </c>
      <c r="E17" s="5" t="inlineStr">
        <is>
          <t>C09</t>
        </is>
      </c>
      <c r="F17" s="15" t="n">
        <v>7.62</v>
      </c>
      <c r="G17" s="5" t="inlineStr">
        <is>
          <t>Medium</t>
        </is>
      </c>
      <c r="H17" s="5" t="inlineStr">
        <is>
          <t>Week 8</t>
        </is>
      </c>
      <c r="I17" s="5" t="inlineStr">
        <is>
          <t>Security Officer (Low)</t>
        </is>
      </c>
    </row>
    <row r="18">
      <c r="A18" s="5" t="inlineStr">
        <is>
          <t>R14</t>
        </is>
      </c>
      <c r="B18" s="5" t="inlineStr">
        <is>
          <t>Workforce violations go unpunished; training not tracked</t>
        </is>
      </c>
      <c r="C18" s="5" t="inlineStr">
        <is>
          <t>Daniel Osei</t>
        </is>
      </c>
      <c r="D18" s="5" t="inlineStr">
        <is>
          <t>Mitigate</t>
        </is>
      </c>
      <c r="E18" s="5" t="inlineStr">
        <is>
          <t>C10</t>
        </is>
      </c>
      <c r="F18" s="15" t="n">
        <v>3.94</v>
      </c>
      <c r="G18" s="5" t="inlineStr">
        <is>
          <t>Low</t>
        </is>
      </c>
      <c r="H18" s="5" t="inlineStr">
        <is>
          <t>Week 4</t>
        </is>
      </c>
      <c r="I18" s="5" t="inlineStr">
        <is>
          <t>Security Officer (Low)</t>
        </is>
      </c>
    </row>
    <row r="19">
      <c r="A19" s="5" t="inlineStr">
        <is>
          <t>R15</t>
        </is>
      </c>
      <c r="B19" s="5" t="inlineStr">
        <is>
          <t>Accidental deletion of production network or storage</t>
        </is>
      </c>
      <c r="C19" s="5" t="inlineStr">
        <is>
          <t>Kevin O'Brien</t>
        </is>
      </c>
      <c r="D19" s="5" t="inlineStr">
        <is>
          <t>Accept</t>
        </is>
      </c>
      <c r="E19" s="5" t="inlineStr">
        <is>
          <t>A01</t>
        </is>
      </c>
      <c r="F19" s="15" t="n">
        <v>5.82</v>
      </c>
      <c r="G19" s="5" t="inlineStr">
        <is>
          <t>Low</t>
        </is>
      </c>
      <c r="H19" s="5" t="inlineStr">
        <is>
          <t>Week 1</t>
        </is>
      </c>
      <c r="I19" s="5" t="inlineStr">
        <is>
          <t>Security Officer (Low)</t>
        </is>
      </c>
    </row>
    <row r="20">
      <c r="A20" s="5" t="inlineStr">
        <is>
          <t>R16</t>
        </is>
      </c>
      <c r="B20" s="5" t="inlineStr">
        <is>
          <t>Breach notification deadline missed (no Privacy Officer)</t>
        </is>
      </c>
      <c r="C20" s="5" t="inlineStr">
        <is>
          <t>Denise Coleman</t>
        </is>
      </c>
      <c r="D20" s="5" t="inlineStr">
        <is>
          <t>Mitigate</t>
        </is>
      </c>
      <c r="E20" s="5" t="inlineStr">
        <is>
          <t>C11</t>
        </is>
      </c>
      <c r="F20" s="15" t="n">
        <v>6.12</v>
      </c>
      <c r="G20" s="5" t="inlineStr">
        <is>
          <t>Medium</t>
        </is>
      </c>
      <c r="H20" s="5" t="inlineStr">
        <is>
          <t>Week 7</t>
        </is>
      </c>
      <c r="I20" s="5" t="inlineStr">
        <is>
          <t>Security Officer (Low)</t>
        </is>
      </c>
    </row>
  </sheetData>
  <conditionalFormatting sqref="G5:G20">
    <cfRule type="expression" priority="1" dxfId="0">
      <formula>G5="Critical"</formula>
    </cfRule>
    <cfRule type="expression" priority="2" dxfId="1">
      <formula>G5="High"</formula>
    </cfRule>
    <cfRule type="expression" priority="3" dxfId="2">
      <formula>G5="Medium"</formula>
    </cfRule>
    <cfRule type="expression" priority="4" dxfId="3">
      <formula>G5="Low"</formula>
    </cfRule>
    <cfRule type="expression" priority="5" dxfId="4">
      <formula>G5="Eliminated"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19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Cost-Benefit Analysis</t>
        </is>
      </c>
    </row>
    <row r="2">
      <c r="A2" s="2" t="inlineStr">
        <is>
          <t>ALE before/after from the Risk Assessment ALE model; annualized control cost from Controls sheet</t>
        </is>
      </c>
    </row>
    <row r="4" ht="32" customHeight="1">
      <c r="A4" s="4" t="inlineStr">
        <is>
          <t>Risk</t>
        </is>
      </c>
      <c r="B4" s="4" t="inlineStr">
        <is>
          <t>Control</t>
        </is>
      </c>
      <c r="C4" s="4" t="inlineStr">
        <is>
          <t>ALE before</t>
        </is>
      </c>
      <c r="D4" s="4" t="inlineStr">
        <is>
          <t>ALE after</t>
        </is>
      </c>
      <c r="E4" s="4" t="inlineStr">
        <is>
          <t>ALE reduction</t>
        </is>
      </c>
      <c r="F4" s="4" t="inlineStr">
        <is>
          <t>Annualized cost</t>
        </is>
      </c>
      <c r="G4" s="4" t="inlineStr">
        <is>
          <t>Net annual benefit</t>
        </is>
      </c>
      <c r="H4" s="4" t="inlineStr">
        <is>
          <t>ROSI</t>
        </is>
      </c>
      <c r="I4" s="4" t="inlineStr">
        <is>
          <t>Payback (days)</t>
        </is>
      </c>
    </row>
    <row r="5">
      <c r="A5" s="5" t="inlineStr">
        <is>
          <t>R01</t>
        </is>
      </c>
      <c r="B5" s="5" t="inlineStr">
        <is>
          <t>C01 Central logging, alerting and flow logs</t>
        </is>
      </c>
      <c r="C5" s="8" t="n">
        <v>864926</v>
      </c>
      <c r="D5" s="8" t="n">
        <v>345971</v>
      </c>
      <c r="E5" s="9">
        <f>C5-D5</f>
        <v/>
      </c>
      <c r="F5" s="9">
        <f>Controls!M6</f>
        <v/>
      </c>
      <c r="G5" s="9">
        <f>E5-F5</f>
        <v/>
      </c>
      <c r="H5" s="16">
        <f>G5/F5</f>
        <v/>
      </c>
      <c r="I5" s="17">
        <f>Controls!K6/(E5/365)</f>
        <v/>
      </c>
    </row>
    <row r="6">
      <c r="A6" s="5" t="inlineStr">
        <is>
          <t>R02</t>
        </is>
      </c>
      <c r="B6" s="5" t="inlineStr">
        <is>
          <t>C02 EHR storage network lockdown</t>
        </is>
      </c>
      <c r="C6" s="8" t="n">
        <v>600643</v>
      </c>
      <c r="D6" s="8" t="n">
        <v>120129</v>
      </c>
      <c r="E6" s="9">
        <f>C6-D6</f>
        <v/>
      </c>
      <c r="F6" s="9">
        <f>Controls!M7</f>
        <v/>
      </c>
      <c r="G6" s="9">
        <f>E6-F6</f>
        <v/>
      </c>
      <c r="H6" s="16">
        <f>G6/F6</f>
        <v/>
      </c>
      <c r="I6" s="17">
        <f>Controls!K7/(E6/365)</f>
        <v/>
      </c>
    </row>
    <row r="7">
      <c r="A7" s="5" t="inlineStr">
        <is>
          <t>R05</t>
        </is>
      </c>
      <c r="B7" s="5" t="inlineStr">
        <is>
          <t>C05 Ransomware-resilient recovery</t>
        </is>
      </c>
      <c r="C7" s="8" t="n">
        <v>1057132</v>
      </c>
      <c r="D7" s="8" t="n">
        <v>288309</v>
      </c>
      <c r="E7" s="9">
        <f>C7-D7</f>
        <v/>
      </c>
      <c r="F7" s="9">
        <f>Controls!M10</f>
        <v/>
      </c>
      <c r="G7" s="9">
        <f>E7-F7</f>
        <v/>
      </c>
      <c r="H7" s="16">
        <f>G7/F7</f>
        <v/>
      </c>
      <c r="I7" s="17">
        <f>Controls!K10/(E7/365)</f>
        <v/>
      </c>
    </row>
    <row r="8">
      <c r="A8" s="5" t="inlineStr">
        <is>
          <t>R12</t>
        </is>
      </c>
      <c r="B8" s="5" t="inlineStr">
        <is>
          <t>C07 Conditional Access and phishing-resistant MFA</t>
        </is>
      </c>
      <c r="C8" s="8" t="n">
        <v>168180</v>
      </c>
      <c r="D8" s="8" t="n">
        <v>38441</v>
      </c>
      <c r="E8" s="9">
        <f>C8-D8</f>
        <v/>
      </c>
      <c r="F8" s="9">
        <f>Controls!M12</f>
        <v/>
      </c>
      <c r="G8" s="9">
        <f>E8-F8</f>
        <v/>
      </c>
      <c r="H8" s="16">
        <f>G8/F8</f>
        <v/>
      </c>
      <c r="I8" s="17">
        <f>Controls!K12/(E8/365)</f>
        <v/>
      </c>
    </row>
    <row r="9">
      <c r="A9" s="5" t="inlineStr">
        <is>
          <t>R13</t>
        </is>
      </c>
      <c r="B9" s="5" t="inlineStr">
        <is>
          <t>C09 EHR access auditing and owner review</t>
        </is>
      </c>
      <c r="C9" s="8" t="n">
        <v>74960</v>
      </c>
      <c r="D9" s="8" t="n">
        <v>24987</v>
      </c>
      <c r="E9" s="9">
        <f>C9-D9</f>
        <v/>
      </c>
      <c r="F9" s="9">
        <f>Controls!M14</f>
        <v/>
      </c>
      <c r="G9" s="9">
        <f>E9-F9</f>
        <v/>
      </c>
      <c r="H9" s="16">
        <f>G9/F9</f>
        <v/>
      </c>
      <c r="I9" s="17">
        <f>Controls!K14/(E9/365)</f>
        <v/>
      </c>
    </row>
    <row r="10">
      <c r="B10" s="13" t="inlineStr">
        <is>
          <t>Total</t>
        </is>
      </c>
      <c r="C10" s="14">
        <f>SUM(C5:C9)</f>
        <v/>
      </c>
      <c r="D10" s="14">
        <f>SUM(D5:D9)</f>
        <v/>
      </c>
      <c r="E10" s="14">
        <f>SUM(E5:E9)</f>
        <v/>
      </c>
      <c r="F10" s="14">
        <f>SUM(F5:F9)</f>
        <v/>
      </c>
      <c r="G10" s="14">
        <f>SUM(G5:G9)</f>
        <v/>
      </c>
    </row>
    <row r="13">
      <c r="A13" s="18" t="inlineStr">
        <is>
          <t>Risk transfer — cyber insurance (T01)</t>
        </is>
      </c>
    </row>
    <row r="14">
      <c r="A14" s="13" t="inlineStr">
        <is>
          <t>Residual ALE R02 + R05 after controls</t>
        </is>
      </c>
      <c r="B14" s="9">
        <f>D6+D7</f>
        <v/>
      </c>
    </row>
    <row r="15">
      <c r="A15" s="13" t="inlineStr">
        <is>
          <t>Share covered above retention (assumption)</t>
        </is>
      </c>
      <c r="B15" s="19" t="n">
        <v>0.8</v>
      </c>
    </row>
    <row r="16">
      <c r="A16" s="13" t="inlineStr">
        <is>
          <t>Expected annual recovery</t>
        </is>
      </c>
      <c r="B16" s="9">
        <f>B14*B15</f>
        <v/>
      </c>
    </row>
    <row r="17">
      <c r="A17" s="13" t="inlineStr">
        <is>
          <t>Annual premium (assumption)</t>
        </is>
      </c>
      <c r="B17" s="8" t="n">
        <v>25000</v>
      </c>
    </row>
    <row r="18">
      <c r="A18" s="13" t="inlineStr">
        <is>
          <t>Net expected benefit</t>
        </is>
      </c>
      <c r="B18" s="9">
        <f>B16-B17</f>
        <v/>
      </c>
    </row>
    <row r="19">
      <c r="A19" s="13" t="inlineStr">
        <is>
          <t>Policy limit / retention</t>
        </is>
      </c>
      <c r="B19" s="9" t="inlineStr">
        <is>
          <t>$5,000,000 / $100,000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O22"/>
  <sheetViews>
    <sheetView zoomScale="11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2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55" customWidth="1" min="15" max="15"/>
  </cols>
  <sheetData>
    <row r="1">
      <c r="A1" s="1" t="inlineStr">
        <is>
          <t>Inherent vs Residual Risk and Control Effectiveness</t>
        </is>
      </c>
    </row>
    <row r="2">
      <c r="A2" s="2" t="inlineStr">
        <is>
          <t>Residual score = residual likelihood × weighted impact (weights in H3:K3). Effectiveness = 1 − residual / inherent.</t>
        </is>
      </c>
      <c r="H2" s="20" t="inlineStr">
        <is>
          <t>w Financial</t>
        </is>
      </c>
      <c r="I2" s="20" t="inlineStr">
        <is>
          <t>w Operational</t>
        </is>
      </c>
      <c r="J2" s="20" t="inlineStr">
        <is>
          <t>w Compliance</t>
        </is>
      </c>
      <c r="K2" s="20" t="inlineStr">
        <is>
          <t>w Reputation</t>
        </is>
      </c>
    </row>
    <row r="3">
      <c r="H3" s="21" t="n">
        <v>0.19</v>
      </c>
      <c r="I3" s="21" t="n">
        <v>0.36</v>
      </c>
      <c r="J3" s="21" t="n">
        <v>0.33</v>
      </c>
      <c r="K3" s="21" t="n">
        <v>0.12</v>
      </c>
    </row>
    <row r="5" ht="32" customHeight="1">
      <c r="A5" s="4" t="inlineStr">
        <is>
          <t>Risk</t>
        </is>
      </c>
      <c r="B5" s="4" t="inlineStr">
        <is>
          <t>Title</t>
        </is>
      </c>
      <c r="C5" s="4" t="inlineStr">
        <is>
          <t>Strategy</t>
        </is>
      </c>
      <c r="D5" s="4" t="inlineStr">
        <is>
          <t>Controls</t>
        </is>
      </c>
      <c r="E5" s="4" t="inlineStr">
        <is>
          <t>Inherent score</t>
        </is>
      </c>
      <c r="F5" s="4" t="inlineStr">
        <is>
          <t>Inherent rating</t>
        </is>
      </c>
      <c r="G5" s="4" t="inlineStr">
        <is>
          <t>Residual L</t>
        </is>
      </c>
      <c r="H5" s="4" t="inlineStr">
        <is>
          <t>Residual F</t>
        </is>
      </c>
      <c r="I5" s="4" t="inlineStr">
        <is>
          <t>Residual O</t>
        </is>
      </c>
      <c r="J5" s="4" t="inlineStr">
        <is>
          <t>Residual C</t>
        </is>
      </c>
      <c r="K5" s="4" t="inlineStr">
        <is>
          <t>Residual R</t>
        </is>
      </c>
      <c r="L5" s="4" t="inlineStr">
        <is>
          <t>Residual score</t>
        </is>
      </c>
      <c r="M5" s="4" t="inlineStr">
        <is>
          <t>Residual rating</t>
        </is>
      </c>
      <c r="N5" s="4" t="inlineStr">
        <is>
          <t>Effectiveness</t>
        </is>
      </c>
      <c r="O5" s="4" t="inlineStr">
        <is>
          <t>Why it drops</t>
        </is>
      </c>
    </row>
    <row r="6">
      <c r="A6" s="5" t="inlineStr">
        <is>
          <t>R01</t>
        </is>
      </c>
      <c r="B6" s="5" t="inlineStr">
        <is>
          <t>Security incident goes undetected for months (no central logging or alerting)</t>
        </is>
      </c>
      <c r="C6" s="5" t="inlineStr">
        <is>
          <t>Mitigate</t>
        </is>
      </c>
      <c r="D6" s="5" t="inlineStr">
        <is>
          <t>C01</t>
        </is>
      </c>
      <c r="E6" s="15" t="n">
        <v>16.64</v>
      </c>
      <c r="F6" s="5" t="inlineStr">
        <is>
          <t>High</t>
        </is>
      </c>
      <c r="G6" s="7" t="n">
        <v>2</v>
      </c>
      <c r="H6" s="7" t="n">
        <v>3</v>
      </c>
      <c r="I6" s="7" t="n">
        <v>3</v>
      </c>
      <c r="J6" s="7" t="n">
        <v>4</v>
      </c>
      <c r="K6" s="7" t="n">
        <v>3</v>
      </c>
      <c r="L6" s="15">
        <f>G6*(H6*$H$3+I6*$I$3+J6*$J$3+K6*$K$3)</f>
        <v/>
      </c>
      <c r="M6" s="5">
        <f>IF(L6&gt;=20,"Critical",IF(OR(L6&gt;=12,AND(MAX(H6:K6)=5,G6&gt;=3)),"High",IF(L6&gt;=6,"Medium","Low")))</f>
        <v/>
      </c>
      <c r="N6" s="22">
        <f>1-L6/E6</f>
        <v/>
      </c>
      <c r="O6" s="5" t="inlineStr">
        <is>
          <t>Alerts cut dwell time from months to hours (lower impact) and deter attackers (L 4→2)</t>
        </is>
      </c>
    </row>
    <row r="7">
      <c r="A7" s="5" t="inlineStr">
        <is>
          <t>R02</t>
        </is>
      </c>
      <c r="B7" s="5" t="inlineStr">
        <is>
          <t>ePHI exfiltration from EHR storage over the public internet</t>
        </is>
      </c>
      <c r="C7" s="5" t="inlineStr">
        <is>
          <t>Mitigate + Transfer</t>
        </is>
      </c>
      <c r="D7" s="5" t="inlineStr">
        <is>
          <t>C02, T01</t>
        </is>
      </c>
      <c r="E7" s="15" t="n">
        <v>11.76</v>
      </c>
      <c r="F7" s="5" t="inlineStr">
        <is>
          <t>High</t>
        </is>
      </c>
      <c r="G7" s="7" t="n">
        <v>1</v>
      </c>
      <c r="H7" s="7" t="n">
        <v>5</v>
      </c>
      <c r="I7" s="7" t="n">
        <v>2</v>
      </c>
      <c r="J7" s="7" t="n">
        <v>5</v>
      </c>
      <c r="K7" s="7" t="n">
        <v>5</v>
      </c>
      <c r="L7" s="15">
        <f>G7*(H7*$H$3+I7*$I$3+J7*$J$3+K7*$K$3)</f>
        <v/>
      </c>
      <c r="M7" s="5">
        <f>IF(L7&gt;=20,"Critical",IF(OR(L7&gt;=12,AND(MAX(H7:K7)=5,G7&gt;=3)),"High",IF(L7&gt;=6,"Medium","Low")))</f>
        <v/>
      </c>
      <c r="N7" s="22">
        <f>1-L7/E7</f>
        <v/>
      </c>
      <c r="O7" s="5" t="inlineStr">
        <is>
          <t>No internet path to storage; exploitation needs an insider with RBAC (L 3→1)</t>
        </is>
      </c>
    </row>
    <row r="8">
      <c r="A8" s="5" t="inlineStr">
        <is>
          <t>R03</t>
        </is>
      </c>
      <c r="B8" s="5" t="inlineStr">
        <is>
          <t>Lateral movement from Web tier to Data tier</t>
        </is>
      </c>
      <c r="C8" s="5" t="inlineStr">
        <is>
          <t>Mitigate</t>
        </is>
      </c>
      <c r="D8" s="5" t="inlineStr">
        <is>
          <t>C03</t>
        </is>
      </c>
      <c r="E8" s="15" t="n">
        <v>13.56</v>
      </c>
      <c r="F8" s="5" t="inlineStr">
        <is>
          <t>High</t>
        </is>
      </c>
      <c r="G8" s="7" t="n">
        <v>1</v>
      </c>
      <c r="H8" s="7" t="n">
        <v>5</v>
      </c>
      <c r="I8" s="7" t="n">
        <v>4</v>
      </c>
      <c r="J8" s="7" t="n">
        <v>5</v>
      </c>
      <c r="K8" s="7" t="n">
        <v>4</v>
      </c>
      <c r="L8" s="15">
        <f>G8*(H8*$H$3+I8*$I$3+J8*$J$3+K8*$K$3)</f>
        <v/>
      </c>
      <c r="M8" s="5">
        <f>IF(L8&gt;=20,"Critical",IF(OR(L8&gt;=12,AND(MAX(H8:K8)=5,G8&gt;=3)),"High",IF(L8&gt;=6,"Medium","Low")))</f>
        <v/>
      </c>
      <c r="N8" s="22">
        <f>1-L8/E8</f>
        <v/>
      </c>
      <c r="O8" s="5" t="inlineStr">
        <is>
          <t>Deny rule leaves only SQL 1433 from the App tier (L 3→1)</t>
        </is>
      </c>
    </row>
    <row r="9">
      <c r="A9" s="5" t="inlineStr">
        <is>
          <t>R04</t>
        </is>
      </c>
      <c r="B9" s="5" t="inlineStr">
        <is>
          <t>Loss or takeover of the only Global Administrator account</t>
        </is>
      </c>
      <c r="C9" s="5" t="inlineStr">
        <is>
          <t>Mitigate</t>
        </is>
      </c>
      <c r="D9" s="5" t="inlineStr">
        <is>
          <t>C04</t>
        </is>
      </c>
      <c r="E9" s="15" t="n">
        <v>9.720000000000001</v>
      </c>
      <c r="F9" s="5" t="inlineStr">
        <is>
          <t>Medium</t>
        </is>
      </c>
      <c r="G9" s="7" t="n">
        <v>1</v>
      </c>
      <c r="H9" s="7" t="n">
        <v>3</v>
      </c>
      <c r="I9" s="7" t="n">
        <v>4</v>
      </c>
      <c r="J9" s="7" t="n">
        <v>3</v>
      </c>
      <c r="K9" s="7" t="n">
        <v>2</v>
      </c>
      <c r="L9" s="15">
        <f>G9*(H9*$H$3+I9*$I$3+J9*$J$3+K9*$K$3)</f>
        <v/>
      </c>
      <c r="M9" s="5">
        <f>IF(L9&gt;=20,"Critical",IF(OR(L9&gt;=12,AND(MAX(H9:K9)=5,G9&gt;=3)),"High",IF(L9&gt;=6,"Medium","Low")))</f>
        <v/>
      </c>
      <c r="N9" s="22">
        <f>1-L9/E9</f>
        <v/>
      </c>
      <c r="O9" s="5" t="inlineStr">
        <is>
          <t>Break-glass and second admin remove lockout; PIM removes standing privilege (L 3→1)</t>
        </is>
      </c>
    </row>
    <row r="10">
      <c r="A10" s="5" t="inlineStr">
        <is>
          <t>R05</t>
        </is>
      </c>
      <c r="B10" s="5" t="inlineStr">
        <is>
          <t>Ransomware or malicious deletion destroys EHR data</t>
        </is>
      </c>
      <c r="C10" s="5" t="inlineStr">
        <is>
          <t>Mitigate + Transfer</t>
        </is>
      </c>
      <c r="D10" s="5" t="inlineStr">
        <is>
          <t>C05, T01</t>
        </is>
      </c>
      <c r="E10" s="15" t="n">
        <v>14.01</v>
      </c>
      <c r="F10" s="5" t="inlineStr">
        <is>
          <t>High</t>
        </is>
      </c>
      <c r="G10" s="7" t="n">
        <v>3</v>
      </c>
      <c r="H10" s="7" t="n">
        <v>3</v>
      </c>
      <c r="I10" s="7" t="n">
        <v>3</v>
      </c>
      <c r="J10" s="7" t="n">
        <v>3</v>
      </c>
      <c r="K10" s="7" t="n">
        <v>3</v>
      </c>
      <c r="L10" s="15">
        <f>G10*(H10*$H$3+I10*$I$3+J10*$J$3+K10*$K$3)</f>
        <v/>
      </c>
      <c r="M10" s="5">
        <f>IF(L10&gt;=20,"Critical",IF(OR(L10&gt;=12,AND(MAX(H10:K10)=5,G10&gt;=3)),"High",IF(L10&gt;=6,"Medium","Low")))</f>
        <v/>
      </c>
      <c r="N10" s="22">
        <f>1-L10/E10</f>
        <v/>
      </c>
      <c r="O10" s="5" t="inlineStr">
        <is>
          <t>Attacks still likely, but versioned, immutable backups cap outage within MTD (impact 5→3)</t>
        </is>
      </c>
    </row>
    <row r="11">
      <c r="A11" s="5" t="inlineStr">
        <is>
          <t>R06</t>
        </is>
      </c>
      <c r="B11" s="5" t="inlineStr">
        <is>
          <t>Contractor retains access after engagement ends; no BAA</t>
        </is>
      </c>
      <c r="C11" s="5" t="inlineStr">
        <is>
          <t>Transfer</t>
        </is>
      </c>
      <c r="D11" s="5" t="inlineStr">
        <is>
          <t>C12</t>
        </is>
      </c>
      <c r="E11" s="15" t="n">
        <v>4.6</v>
      </c>
      <c r="F11" s="5" t="inlineStr">
        <is>
          <t>Low</t>
        </is>
      </c>
      <c r="G11" s="7" t="n">
        <v>1</v>
      </c>
      <c r="H11" s="7" t="n">
        <v>2</v>
      </c>
      <c r="I11" s="7" t="n">
        <v>1</v>
      </c>
      <c r="J11" s="7" t="n">
        <v>3</v>
      </c>
      <c r="K11" s="7" t="n">
        <v>2</v>
      </c>
      <c r="L11" s="15">
        <f>G11*(H11*$H$3+I11*$I$3+J11*$J$3+K11*$K$3)</f>
        <v/>
      </c>
      <c r="M11" s="5">
        <f>IF(L11&gt;=20,"Critical",IF(OR(L11&gt;=12,AND(MAX(H11:K11)=5,G11&gt;=3)),"High",IF(L11&gt;=6,"Medium","Low")))</f>
        <v/>
      </c>
      <c r="N11" s="22">
        <f>1-L11/E11</f>
        <v/>
      </c>
      <c r="O11" s="5" t="inlineStr">
        <is>
          <t>Expiry limits exposure; BAA moves liability to contractor firm (L 2→1, C 4→3)</t>
        </is>
      </c>
    </row>
    <row r="12">
      <c r="A12" s="5" t="inlineStr">
        <is>
          <t>R07</t>
        </is>
      </c>
      <c r="B12" s="5" t="inlineStr">
        <is>
          <t>Shared test account in production can read ePHI</t>
        </is>
      </c>
      <c r="C12" s="5" t="inlineStr">
        <is>
          <t>Avoid</t>
        </is>
      </c>
      <c r="D12" s="5" t="inlineStr">
        <is>
          <t>C14</t>
        </is>
      </c>
      <c r="E12" s="15" t="n">
        <v>3.56</v>
      </c>
      <c r="F12" s="5" t="inlineStr">
        <is>
          <t>Low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5" t="n">
        <v>0</v>
      </c>
      <c r="M12" s="5" t="inlineStr">
        <is>
          <t>Eliminated</t>
        </is>
      </c>
      <c r="N12" s="22">
        <f>1-L12/E12</f>
        <v/>
      </c>
      <c r="O12" s="5" t="inlineStr">
        <is>
          <t>Account removed — risk eliminated</t>
        </is>
      </c>
    </row>
    <row r="13">
      <c r="A13" s="5" t="inlineStr">
        <is>
          <t>R08</t>
        </is>
      </c>
      <c r="B13" s="5" t="inlineStr">
        <is>
          <t>Consent phishing or rogue app via open tenant settings</t>
        </is>
      </c>
      <c r="C13" s="5" t="inlineStr">
        <is>
          <t>Mitigate</t>
        </is>
      </c>
      <c r="D13" s="5" t="inlineStr">
        <is>
          <t>C08</t>
        </is>
      </c>
      <c r="E13" s="15" t="n">
        <v>8.91</v>
      </c>
      <c r="F13" s="5" t="inlineStr">
        <is>
          <t>Medium</t>
        </is>
      </c>
      <c r="G13" s="7" t="n">
        <v>1</v>
      </c>
      <c r="H13" s="7" t="n">
        <v>3</v>
      </c>
      <c r="I13" s="7" t="n">
        <v>2</v>
      </c>
      <c r="J13" s="7" t="n">
        <v>4</v>
      </c>
      <c r="K13" s="7" t="n">
        <v>3</v>
      </c>
      <c r="L13" s="15">
        <f>G13*(H13*$H$3+I13*$I$3+J13*$J$3+K13*$K$3)</f>
        <v/>
      </c>
      <c r="M13" s="5">
        <f>IF(L13&gt;=20,"Critical",IF(OR(L13&gt;=12,AND(MAX(H13:K13)=5,G13&gt;=3)),"High",IF(L13&gt;=6,"Medium","Low")))</f>
        <v/>
      </c>
      <c r="N13" s="22">
        <f>1-L13/E13</f>
        <v/>
      </c>
      <c r="O13" s="5" t="inlineStr">
        <is>
          <t>Users can no longer register or consent to apps (L 3→1)</t>
        </is>
      </c>
    </row>
    <row r="14">
      <c r="A14" s="5" t="inlineStr">
        <is>
          <t>R09</t>
        </is>
      </c>
      <c r="B14" s="5" t="inlineStr">
        <is>
          <t>Remote code execution via OpenSSH 6.6.1p1 (CVE-2023-38408, CVSS 9.8)</t>
        </is>
      </c>
      <c r="C14" s="5" t="inlineStr">
        <is>
          <t>Avoid</t>
        </is>
      </c>
      <c r="D14" s="5" t="inlineStr">
        <is>
          <t>C13</t>
        </is>
      </c>
      <c r="E14" s="15" t="n">
        <v>9.57</v>
      </c>
      <c r="F14" s="5" t="inlineStr">
        <is>
          <t>Medium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15" t="n">
        <v>0</v>
      </c>
      <c r="M14" s="5" t="inlineStr">
        <is>
          <t>Eliminated</t>
        </is>
      </c>
      <c r="N14" s="22">
        <f>1-L14/E14</f>
        <v/>
      </c>
      <c r="O14" s="5" t="inlineStr">
        <is>
          <t>Server decommissioned — risk eliminated</t>
        </is>
      </c>
    </row>
    <row r="15">
      <c r="A15" s="5" t="inlineStr">
        <is>
          <t>R10</t>
        </is>
      </c>
      <c r="B15" s="5" t="inlineStr">
        <is>
          <t>Remote code execution via Apache 2.4.7 mod_lua (CVE-2021-44790, CVSS 9.8)</t>
        </is>
      </c>
      <c r="C15" s="5" t="inlineStr">
        <is>
          <t>Avoid</t>
        </is>
      </c>
      <c r="D15" s="5" t="inlineStr">
        <is>
          <t>C13</t>
        </is>
      </c>
      <c r="E15" s="15" t="n">
        <v>12.76</v>
      </c>
      <c r="F15" s="5" t="inlineStr">
        <is>
          <t>High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15" t="n">
        <v>0</v>
      </c>
      <c r="M15" s="5" t="inlineStr">
        <is>
          <t>Eliminated</t>
        </is>
      </c>
      <c r="N15" s="22">
        <f>1-L15/E15</f>
        <v/>
      </c>
      <c r="O15" s="5" t="inlineStr">
        <is>
          <t>Server decommissioned — risk eliminated</t>
        </is>
      </c>
    </row>
    <row r="16">
      <c r="A16" s="5" t="inlineStr">
        <is>
          <t>R11</t>
        </is>
      </c>
      <c r="B16" s="5" t="inlineStr">
        <is>
          <t>Malware uploaded to EHR storage is not detected</t>
        </is>
      </c>
      <c r="C16" s="5" t="inlineStr">
        <is>
          <t>Mitigate</t>
        </is>
      </c>
      <c r="D16" s="5" t="inlineStr">
        <is>
          <t>C06</t>
        </is>
      </c>
      <c r="E16" s="15" t="n">
        <v>10.08</v>
      </c>
      <c r="F16" s="5" t="inlineStr">
        <is>
          <t>Medium</t>
        </is>
      </c>
      <c r="G16" s="7" t="n">
        <v>2</v>
      </c>
      <c r="H16" s="7" t="n">
        <v>3</v>
      </c>
      <c r="I16" s="7" t="n">
        <v>2</v>
      </c>
      <c r="J16" s="7" t="n">
        <v>3</v>
      </c>
      <c r="K16" s="7" t="n">
        <v>3</v>
      </c>
      <c r="L16" s="15">
        <f>G16*(H16*$H$3+I16*$I$3+J16*$J$3+K16*$K$3)</f>
        <v/>
      </c>
      <c r="M16" s="5">
        <f>IF(L16&gt;=20,"Critical",IF(OR(L16&gt;=12,AND(MAX(H16:K16)=5,G16&gt;=3)),"High",IF(L16&gt;=6,"Medium","Low")))</f>
        <v/>
      </c>
      <c r="N16" s="22">
        <f>1-L16/E16</f>
        <v/>
      </c>
      <c r="O16" s="5" t="inlineStr">
        <is>
          <t>Uploads scanned before use (L 3→2, O 4→2)</t>
        </is>
      </c>
    </row>
    <row r="17">
      <c r="A17" s="5" t="inlineStr">
        <is>
          <t>R12</t>
        </is>
      </c>
      <c r="B17" s="5" t="inlineStr">
        <is>
          <t>Clinician credentials stolen by MFA-bypass (AiTM) phishing</t>
        </is>
      </c>
      <c r="C17" s="5" t="inlineStr">
        <is>
          <t>Mitigate</t>
        </is>
      </c>
      <c r="D17" s="5" t="inlineStr">
        <is>
          <t>C07</t>
        </is>
      </c>
      <c r="E17" s="15" t="n">
        <v>8.91</v>
      </c>
      <c r="F17" s="5" t="inlineStr">
        <is>
          <t>Medium</t>
        </is>
      </c>
      <c r="G17" s="7" t="n">
        <v>1</v>
      </c>
      <c r="H17" s="7" t="n">
        <v>3</v>
      </c>
      <c r="I17" s="7" t="n">
        <v>2</v>
      </c>
      <c r="J17" s="7" t="n">
        <v>4</v>
      </c>
      <c r="K17" s="7" t="n">
        <v>3</v>
      </c>
      <c r="L17" s="15">
        <f>G17*(H17*$H$3+I17*$I$3+J17*$J$3+K17*$K$3)</f>
        <v/>
      </c>
      <c r="M17" s="5">
        <f>IF(L17&gt;=20,"Critical",IF(OR(L17&gt;=12,AND(MAX(H17:K17)=5,G17&gt;=3)),"High",IF(L17&gt;=6,"Medium","Low")))</f>
        <v/>
      </c>
      <c r="N17" s="22">
        <f>1-L17/E17</f>
        <v/>
      </c>
      <c r="O17" s="5" t="inlineStr">
        <is>
          <t>Phishing-resistant MFA defeats AiTM proxies (L 3→1)</t>
        </is>
      </c>
    </row>
    <row r="18">
      <c r="A18" s="5" t="inlineStr">
        <is>
          <t>R13</t>
        </is>
      </c>
      <c r="B18" s="5" t="inlineStr">
        <is>
          <t>Workforce member views patient records without a care need (snooping)</t>
        </is>
      </c>
      <c r="C18" s="5" t="inlineStr">
        <is>
          <t>Mitigate</t>
        </is>
      </c>
      <c r="D18" s="5" t="inlineStr">
        <is>
          <t>C09</t>
        </is>
      </c>
      <c r="E18" s="15" t="n">
        <v>7.62</v>
      </c>
      <c r="F18" s="5" t="inlineStr">
        <is>
          <t>Medium</t>
        </is>
      </c>
      <c r="G18" s="7" t="n">
        <v>2</v>
      </c>
      <c r="H18" s="7" t="n">
        <v>2</v>
      </c>
      <c r="I18" s="7" t="n">
        <v>1</v>
      </c>
      <c r="J18" s="7" t="n">
        <v>4</v>
      </c>
      <c r="K18" s="7" t="n">
        <v>3</v>
      </c>
      <c r="L18" s="15">
        <f>G18*(H18*$H$3+I18*$I$3+J18*$J$3+K18*$K$3)</f>
        <v/>
      </c>
      <c r="M18" s="5">
        <f>IF(L18&gt;=20,"Critical",IF(OR(L18&gt;=12,AND(MAX(H18:K18)=5,G18&gt;=3)),"High",IF(L18&gt;=6,"Medium","Low")))</f>
        <v/>
      </c>
      <c r="N18" s="22">
        <f>1-L18/E18</f>
        <v/>
      </c>
      <c r="O18" s="5" t="inlineStr">
        <is>
          <t>Auditing deters and detects early (L 3→2, R 4→3); some snooping remains — residual accepted by owner</t>
        </is>
      </c>
    </row>
    <row r="19">
      <c r="A19" s="5" t="inlineStr">
        <is>
          <t>R14</t>
        </is>
      </c>
      <c r="B19" s="5" t="inlineStr">
        <is>
          <t>Workforce violations go unpunished; training not tracked</t>
        </is>
      </c>
      <c r="C19" s="5" t="inlineStr">
        <is>
          <t>Mitigate</t>
        </is>
      </c>
      <c r="D19" s="5" t="inlineStr">
        <is>
          <t>C10</t>
        </is>
      </c>
      <c r="E19" s="15" t="n">
        <v>3.94</v>
      </c>
      <c r="F19" s="5" t="inlineStr">
        <is>
          <t>Low</t>
        </is>
      </c>
      <c r="G19" s="7" t="n">
        <v>1</v>
      </c>
      <c r="H19" s="7" t="n">
        <v>2</v>
      </c>
      <c r="I19" s="7" t="n">
        <v>1</v>
      </c>
      <c r="J19" s="7" t="n">
        <v>3</v>
      </c>
      <c r="K19" s="7" t="n">
        <v>2</v>
      </c>
      <c r="L19" s="15">
        <f>G19*(H19*$H$3+I19*$I$3+J19*$J$3+K19*$K$3)</f>
        <v/>
      </c>
      <c r="M19" s="5">
        <f>IF(L19&gt;=20,"Critical",IF(OR(L19&gt;=12,AND(MAX(H19:K19)=5,G19&gt;=3)),"High",IF(L19&gt;=6,"Medium","Low")))</f>
        <v/>
      </c>
      <c r="N19" s="22">
        <f>1-L19/E19</f>
        <v/>
      </c>
      <c r="O19" s="5" t="inlineStr">
        <is>
          <t>Policy and tracked training in place (L 2→1)</t>
        </is>
      </c>
    </row>
    <row r="20">
      <c r="A20" s="5" t="inlineStr">
        <is>
          <t>R15</t>
        </is>
      </c>
      <c r="B20" s="5" t="inlineStr">
        <is>
          <t>Accidental deletion of production network or storage</t>
        </is>
      </c>
      <c r="C20" s="5" t="inlineStr">
        <is>
          <t>Accept</t>
        </is>
      </c>
      <c r="D20" s="5" t="inlineStr">
        <is>
          <t>A01</t>
        </is>
      </c>
      <c r="E20" s="15" t="n">
        <v>5.82</v>
      </c>
      <c r="F20" s="5" t="inlineStr">
        <is>
          <t>Low</t>
        </is>
      </c>
      <c r="G20" s="7" t="n">
        <v>2</v>
      </c>
      <c r="H20" s="7" t="n">
        <v>3</v>
      </c>
      <c r="I20" s="7" t="n">
        <v>4</v>
      </c>
      <c r="J20" s="7" t="n">
        <v>2</v>
      </c>
      <c r="K20" s="7" t="n">
        <v>2</v>
      </c>
      <c r="L20" s="15">
        <f>G20*(H20*$H$3+I20*$I$3+J20*$J$3+K20*$K$3)</f>
        <v/>
      </c>
      <c r="M20" s="5">
        <f>IF(L20&gt;=20,"Critical",IF(OR(L20&gt;=12,AND(MAX(H20:K20)=5,G20&gt;=3)),"High",IF(L20&gt;=6,"Medium","Low")))</f>
        <v/>
      </c>
      <c r="N20" s="22">
        <f>1-L20/E20</f>
        <v/>
      </c>
      <c r="O20" s="5" t="inlineStr">
        <is>
          <t>Accepted — no change</t>
        </is>
      </c>
    </row>
    <row r="21">
      <c r="A21" s="5" t="inlineStr">
        <is>
          <t>R16</t>
        </is>
      </c>
      <c r="B21" s="5" t="inlineStr">
        <is>
          <t>Breach notification deadline missed (no Privacy Officer)</t>
        </is>
      </c>
      <c r="C21" s="5" t="inlineStr">
        <is>
          <t>Mitigate</t>
        </is>
      </c>
      <c r="D21" s="5" t="inlineStr">
        <is>
          <t>C11</t>
        </is>
      </c>
      <c r="E21" s="15" t="n">
        <v>6.12</v>
      </c>
      <c r="F21" s="5" t="inlineStr">
        <is>
          <t>Medium</t>
        </is>
      </c>
      <c r="G21" s="7" t="n">
        <v>1</v>
      </c>
      <c r="H21" s="7" t="n">
        <v>3</v>
      </c>
      <c r="I21" s="7" t="n">
        <v>1</v>
      </c>
      <c r="J21" s="7" t="n">
        <v>4</v>
      </c>
      <c r="K21" s="7" t="n">
        <v>4</v>
      </c>
      <c r="L21" s="15">
        <f>G21*(H21*$H$3+I21*$I$3+J21*$J$3+K21*$K$3)</f>
        <v/>
      </c>
      <c r="M21" s="5">
        <f>IF(L21&gt;=20,"Critical",IF(OR(L21&gt;=12,AND(MAX(H21:K21)=5,G21&gt;=3)),"High",IF(L21&gt;=6,"Medium","Low")))</f>
        <v/>
      </c>
      <c r="N21" s="22">
        <f>1-L21/E21</f>
        <v/>
      </c>
      <c r="O21" s="5" t="inlineStr">
        <is>
          <t>Named Privacy Officer and procedure (L 2→1, C 5→4)</t>
        </is>
      </c>
    </row>
    <row r="22">
      <c r="B22" s="13" t="inlineStr">
        <is>
          <t>Total / portfolio effectiveness</t>
        </is>
      </c>
      <c r="E22" s="23">
        <f>SUM(E6:E21)</f>
        <v/>
      </c>
      <c r="L22" s="23">
        <f>SUM(L6:L21)</f>
        <v/>
      </c>
      <c r="N22" s="24">
        <f>1-L22/E22</f>
        <v/>
      </c>
    </row>
  </sheetData>
  <conditionalFormatting sqref="F6:F21">
    <cfRule type="expression" priority="1" dxfId="0">
      <formula>F6="Critical"</formula>
    </cfRule>
    <cfRule type="expression" priority="2" dxfId="1">
      <formula>F6="High"</formula>
    </cfRule>
    <cfRule type="expression" priority="3" dxfId="2">
      <formula>F6="Medium"</formula>
    </cfRule>
    <cfRule type="expression" priority="4" dxfId="3">
      <formula>F6="Low"</formula>
    </cfRule>
    <cfRule type="expression" priority="5" dxfId="4">
      <formula>F6="Eliminated"</formula>
    </cfRule>
  </conditionalFormatting>
  <conditionalFormatting sqref="M6:M21">
    <cfRule type="expression" priority="6" dxfId="0">
      <formula>M6="Critical"</formula>
    </cfRule>
    <cfRule type="expression" priority="7" dxfId="1">
      <formula>M6="High"</formula>
    </cfRule>
    <cfRule type="expression" priority="8" dxfId="2">
      <formula>M6="Medium"</formula>
    </cfRule>
    <cfRule type="expression" priority="9" dxfId="3">
      <formula>M6="Low"</formula>
    </cfRule>
    <cfRule type="expression" priority="10" dxfId="4">
      <formula>M6="Eliminated"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J20"/>
  <sheetViews>
    <sheetView zoomScale="11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36" customWidth="1" min="4" max="4"/>
    <col width="22" customWidth="1" min="5" max="5"/>
    <col width="34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Control Effectiveness Measures and Monitoring</t>
        </is>
      </c>
    </row>
    <row r="2">
      <c r="A2" s="2" t="inlineStr">
        <is>
          <t>Status column is filled in at each review; Red items escalate per the HVMC escalation matrix</t>
        </is>
      </c>
    </row>
    <row r="4" ht="32" customHeight="1">
      <c r="A4" s="4" t="inlineStr">
        <is>
          <t>Control</t>
        </is>
      </c>
      <c r="B4" s="4" t="inlineStr">
        <is>
          <t>Name</t>
        </is>
      </c>
      <c r="C4" s="4" t="inlineStr">
        <is>
          <t>Owner</t>
        </is>
      </c>
      <c r="D4" s="4" t="inlineStr">
        <is>
          <t>KPI (metric)</t>
        </is>
      </c>
      <c r="E4" s="4" t="inlineStr">
        <is>
          <t>Target</t>
        </is>
      </c>
      <c r="F4" s="4" t="inlineStr">
        <is>
          <t>Data source / test</t>
        </is>
      </c>
      <c r="G4" s="4" t="inlineStr">
        <is>
          <t>Frequency</t>
        </is>
      </c>
      <c r="H4" s="4" t="inlineStr">
        <is>
          <t>Status (G/A/R)</t>
        </is>
      </c>
      <c r="I4" s="4" t="inlineStr">
        <is>
          <t>Last checked</t>
        </is>
      </c>
      <c r="J4" s="4" t="inlineStr">
        <is>
          <t>Notes</t>
        </is>
      </c>
    </row>
    <row r="5">
      <c r="A5" s="5" t="inlineStr">
        <is>
          <t>C01</t>
        </is>
      </c>
      <c r="B5" s="5" t="inlineStr">
        <is>
          <t>Central logging, alerting and flow logs</t>
        </is>
      </c>
      <c r="C5" s="5" t="inlineStr">
        <is>
          <t>Fatima Ali</t>
        </is>
      </c>
      <c r="D5" s="5" t="inlineStr">
        <is>
          <t>Resources sending logs / alert-to-triage time</t>
        </is>
      </c>
      <c r="E5" s="5" t="inlineStr">
        <is>
          <t>100% / &lt; 15 min</t>
        </is>
      </c>
      <c r="F5" s="5" t="inlineStr">
        <is>
          <t>az monitor diagnostic-settings list; test alert</t>
        </is>
      </c>
      <c r="G5" s="5" t="inlineStr">
        <is>
          <t>Monthly</t>
        </is>
      </c>
      <c r="H5" s="7" t="inlineStr"/>
      <c r="I5" s="7" t="inlineStr"/>
      <c r="J5" s="7" t="inlineStr"/>
    </row>
    <row r="6">
      <c r="A6" s="5" t="inlineStr">
        <is>
          <t>C02</t>
        </is>
      </c>
      <c r="B6" s="5" t="inlineStr">
        <is>
          <t>EHR storage network lockdown</t>
        </is>
      </c>
      <c r="C6" s="5" t="inlineStr">
        <is>
          <t>Fatima Ali</t>
        </is>
      </c>
      <c r="D6" s="5" t="inlineStr">
        <is>
          <t>publicNetworkAccess / allowSharedKeyAccess</t>
        </is>
      </c>
      <c r="E6" s="5" t="inlineStr">
        <is>
          <t>Disabled / false</t>
        </is>
      </c>
      <c r="F6" s="5" t="inlineStr">
        <is>
          <t>az storage account show</t>
        </is>
      </c>
      <c r="G6" s="5" t="inlineStr">
        <is>
          <t>Monthly</t>
        </is>
      </c>
      <c r="H6" s="7" t="inlineStr"/>
      <c r="I6" s="7" t="inlineStr"/>
      <c r="J6" s="7" t="inlineStr"/>
    </row>
    <row r="7">
      <c r="A7" s="5" t="inlineStr">
        <is>
          <t>C03</t>
        </is>
      </c>
      <c r="B7" s="5" t="inlineStr">
        <is>
          <t>Enforced network segmentation</t>
        </is>
      </c>
      <c r="C7" s="5" t="inlineStr">
        <is>
          <t>Fatima Ali</t>
        </is>
      </c>
      <c r="D7" s="5" t="inlineStr">
        <is>
          <t>Web→Data test on non-1433 port / Policy compliance</t>
        </is>
      </c>
      <c r="E7" s="5" t="inlineStr">
        <is>
          <t>Blocked / 100%</t>
        </is>
      </c>
      <c r="F7" s="5" t="inlineStr">
        <is>
          <t>Quarterly connectivity test; Azure Policy</t>
        </is>
      </c>
      <c r="G7" s="5" t="inlineStr">
        <is>
          <t>Quarterly</t>
        </is>
      </c>
      <c r="H7" s="7" t="inlineStr"/>
      <c r="I7" s="7" t="inlineStr"/>
      <c r="J7" s="7" t="inlineStr"/>
    </row>
    <row r="8">
      <c r="A8" s="5" t="inlineStr">
        <is>
          <t>C04</t>
        </is>
      </c>
      <c r="B8" s="5" t="inlineStr">
        <is>
          <t>Privileged access resilience</t>
        </is>
      </c>
      <c r="C8" s="5" t="inlineStr">
        <is>
          <t>Sabitha S Karanavar</t>
        </is>
      </c>
      <c r="D8" s="5" t="inlineStr">
        <is>
          <t>Standing Global Admins / break-glass alert test</t>
        </is>
      </c>
      <c r="E8" s="5" t="inlineStr">
        <is>
          <t>≤ 2 + break-glass / pass</t>
        </is>
      </c>
      <c r="F8" s="5" t="inlineStr">
        <is>
          <t>Entra roles report; quarterly test sign-in</t>
        </is>
      </c>
      <c r="G8" s="5" t="inlineStr">
        <is>
          <t>Quarterly</t>
        </is>
      </c>
      <c r="H8" s="7" t="inlineStr"/>
      <c r="I8" s="7" t="inlineStr"/>
      <c r="J8" s="7" t="inlineStr"/>
    </row>
    <row r="9">
      <c r="A9" s="5" t="inlineStr">
        <is>
          <t>C05</t>
        </is>
      </c>
      <c r="B9" s="5" t="inlineStr">
        <is>
          <t>Ransomware-resilient recovery</t>
        </is>
      </c>
      <c r="C9" s="5" t="inlineStr">
        <is>
          <t>Fatima Ali</t>
        </is>
      </c>
      <c r="D9" s="5" t="inlineStr">
        <is>
          <t>Restore test result vs RTO/RPO</t>
        </is>
      </c>
      <c r="E9" s="5" t="inlineStr">
        <is>
          <t>≤ 4 h / ≤ 15 min</t>
        </is>
      </c>
      <c r="F9" s="5" t="inlineStr">
        <is>
          <t>Quarterly restore drill record</t>
        </is>
      </c>
      <c r="G9" s="5" t="inlineStr">
        <is>
          <t>Quarterly</t>
        </is>
      </c>
      <c r="H9" s="7" t="inlineStr"/>
      <c r="I9" s="7" t="inlineStr"/>
      <c r="J9" s="7" t="inlineStr"/>
    </row>
    <row r="10">
      <c r="A10" s="5" t="inlineStr">
        <is>
          <t>C06</t>
        </is>
      </c>
      <c r="B10" s="5" t="inlineStr">
        <is>
          <t>Malware scanning for EHR uploads</t>
        </is>
      </c>
      <c r="C10" s="5" t="inlineStr">
        <is>
          <t>Denise Coleman</t>
        </is>
      </c>
      <c r="D10" s="5" t="inlineStr">
        <is>
          <t>Scan coverage / alerts reviewed in SLA</t>
        </is>
      </c>
      <c r="E10" s="5" t="inlineStr">
        <is>
          <t>100% / 100%</t>
        </is>
      </c>
      <c r="F10" s="5" t="inlineStr">
        <is>
          <t>Defender for Cloud</t>
        </is>
      </c>
      <c r="G10" s="5" t="inlineStr">
        <is>
          <t>Monthly</t>
        </is>
      </c>
      <c r="H10" s="7" t="inlineStr"/>
      <c r="I10" s="7" t="inlineStr"/>
      <c r="J10" s="7" t="inlineStr"/>
    </row>
    <row r="11">
      <c r="A11" s="5" t="inlineStr">
        <is>
          <t>C07</t>
        </is>
      </c>
      <c r="B11" s="5" t="inlineStr">
        <is>
          <t>Conditional Access and phishing-resistant MFA</t>
        </is>
      </c>
      <c r="C11" s="5" t="inlineStr">
        <is>
          <t>Sabitha S Karanavar</t>
        </is>
      </c>
      <c r="D11" s="5" t="inlineStr">
        <is>
          <t>Users covered by CA / phishing-resistant registration</t>
        </is>
      </c>
      <c r="E11" s="5" t="inlineStr">
        <is>
          <t>100% / ≥ 90%</t>
        </is>
      </c>
      <c r="F11" s="5" t="inlineStr">
        <is>
          <t>Entra authentication-methods report</t>
        </is>
      </c>
      <c r="G11" s="5" t="inlineStr">
        <is>
          <t>Monthly</t>
        </is>
      </c>
      <c r="H11" s="7" t="inlineStr"/>
      <c r="I11" s="7" t="inlineStr"/>
      <c r="J11" s="7" t="inlineStr"/>
    </row>
    <row r="12">
      <c r="A12" s="5" t="inlineStr">
        <is>
          <t>C08</t>
        </is>
      </c>
      <c r="B12" s="5" t="inlineStr">
        <is>
          <t>Tenant hardening</t>
        </is>
      </c>
      <c r="C12" s="5" t="inlineStr">
        <is>
          <t>Sabitha S Karanavar</t>
        </is>
      </c>
      <c r="D12" s="5" t="inlineStr">
        <is>
          <t>authorizationPolicy settings</t>
        </is>
      </c>
      <c r="E12" s="5" t="inlineStr">
        <is>
          <t>allowedToCreateApps=false; invites=admins</t>
        </is>
      </c>
      <c r="F12" s="5" t="inlineStr">
        <is>
          <t>Graph authorizationPolicy</t>
        </is>
      </c>
      <c r="G12" s="5" t="inlineStr">
        <is>
          <t>Monthly</t>
        </is>
      </c>
      <c r="H12" s="7" t="inlineStr"/>
      <c r="I12" s="7" t="inlineStr"/>
      <c r="J12" s="7" t="inlineStr"/>
    </row>
    <row r="13">
      <c r="A13" s="5" t="inlineStr">
        <is>
          <t>C09</t>
        </is>
      </c>
      <c r="B13" s="5" t="inlineStr">
        <is>
          <t>EHR access auditing and owner review</t>
        </is>
      </c>
      <c r="C13" s="5" t="inlineStr">
        <is>
          <t>Denise Coleman</t>
        </is>
      </c>
      <c r="D13" s="5" t="inlineStr">
        <is>
          <t>Monthly reviews completed / unexplained accesses</t>
        </is>
      </c>
      <c r="E13" s="5" t="inlineStr">
        <is>
          <t>100% / 0 open &gt; 30 days</t>
        </is>
      </c>
      <c r="F13" s="5" t="inlineStr">
        <is>
          <t>Review log</t>
        </is>
      </c>
      <c r="G13" s="5" t="inlineStr">
        <is>
          <t>Monthly</t>
        </is>
      </c>
      <c r="H13" s="7" t="inlineStr"/>
      <c r="I13" s="7" t="inlineStr"/>
      <c r="J13" s="7" t="inlineStr"/>
    </row>
    <row r="14">
      <c r="A14" s="5" t="inlineStr">
        <is>
          <t>C10</t>
        </is>
      </c>
      <c r="B14" s="5" t="inlineStr">
        <is>
          <t>Sanction policy and training tracking</t>
        </is>
      </c>
      <c r="C14" s="5" t="inlineStr">
        <is>
          <t>Daniel Osei</t>
        </is>
      </c>
      <c r="D14" s="5" t="inlineStr">
        <is>
          <t>Training completion</t>
        </is>
      </c>
      <c r="E14" s="5" t="inlineStr">
        <is>
          <t>≥ 95% annually</t>
        </is>
      </c>
      <c r="F14" s="5" t="inlineStr">
        <is>
          <t>HR training records</t>
        </is>
      </c>
      <c r="G14" s="5" t="inlineStr">
        <is>
          <t>Quarterly</t>
        </is>
      </c>
      <c r="H14" s="7" t="inlineStr"/>
      <c r="I14" s="7" t="inlineStr"/>
      <c r="J14" s="7" t="inlineStr"/>
    </row>
    <row r="15">
      <c r="A15" s="5" t="inlineStr">
        <is>
          <t>C11</t>
        </is>
      </c>
      <c r="B15" s="5" t="inlineStr">
        <is>
          <t>Privacy Officer and breach procedure</t>
        </is>
      </c>
      <c r="C15" s="5" t="inlineStr">
        <is>
          <t>Denise Coleman</t>
        </is>
      </c>
      <c r="D15" s="5" t="inlineStr">
        <is>
          <t>Breach assessments completed within 5 days</t>
        </is>
      </c>
      <c r="E15" s="5" t="inlineStr">
        <is>
          <t>100%</t>
        </is>
      </c>
      <c r="F15" s="5" t="inlineStr">
        <is>
          <t>Incident records; tabletop report</t>
        </is>
      </c>
      <c r="G15" s="5" t="inlineStr">
        <is>
          <t>Annually + per incident</t>
        </is>
      </c>
      <c r="H15" s="7" t="inlineStr"/>
      <c r="I15" s="7" t="inlineStr"/>
      <c r="J15" s="7" t="inlineStr"/>
    </row>
    <row r="16">
      <c r="A16" s="5" t="inlineStr">
        <is>
          <t>C12</t>
        </is>
      </c>
      <c r="B16" s="5" t="inlineStr">
        <is>
          <t>Contractor lifecycle and BAA</t>
        </is>
      </c>
      <c r="C16" s="5" t="inlineStr">
        <is>
          <t>Kevin O'Brien</t>
        </is>
      </c>
      <c r="D16" s="5" t="inlineStr">
        <is>
          <t>Contractor accounts with end date / BAA on file</t>
        </is>
      </c>
      <c r="E16" s="5" t="inlineStr">
        <is>
          <t>100% / yes</t>
        </is>
      </c>
      <c r="F16" s="5" t="inlineStr">
        <is>
          <t>Entra user report; contract register</t>
        </is>
      </c>
      <c r="G16" s="5" t="inlineStr">
        <is>
          <t>Quarterly</t>
        </is>
      </c>
      <c r="H16" s="7" t="inlineStr"/>
      <c r="I16" s="7" t="inlineStr"/>
      <c r="J16" s="7" t="inlineStr"/>
    </row>
    <row r="17">
      <c r="A17" s="5" t="inlineStr">
        <is>
          <t>C13</t>
        </is>
      </c>
      <c r="B17" s="5" t="inlineStr">
        <is>
          <t>Decommission legacy public server</t>
        </is>
      </c>
      <c r="C17" s="5" t="inlineStr">
        <is>
          <t>Kevin O'Brien</t>
        </is>
      </c>
      <c r="D17" s="5" t="inlineStr">
        <is>
          <t>Internet scan of former host</t>
        </is>
      </c>
      <c r="E17" s="5" t="inlineStr">
        <is>
          <t>0 open ports</t>
        </is>
      </c>
      <c r="F17" s="5" t="inlineStr">
        <is>
          <t>nmap from outside</t>
        </is>
      </c>
      <c r="G17" s="5" t="inlineStr">
        <is>
          <t>Once, then quarterly</t>
        </is>
      </c>
      <c r="H17" s="7" t="inlineStr"/>
      <c r="I17" s="7" t="inlineStr"/>
      <c r="J17" s="7" t="inlineStr"/>
    </row>
    <row r="18">
      <c r="A18" s="5" t="inlineStr">
        <is>
          <t>C14</t>
        </is>
      </c>
      <c r="B18" s="5" t="inlineStr">
        <is>
          <t>Separate test from production</t>
        </is>
      </c>
      <c r="C18" s="5" t="inlineStr">
        <is>
          <t>Sabitha S Karanavar</t>
        </is>
      </c>
      <c r="D18" s="5" t="inlineStr">
        <is>
          <t>Test/shared accounts in production</t>
        </is>
      </c>
      <c r="E18" s="5" t="inlineStr">
        <is>
          <t>0</t>
        </is>
      </c>
      <c r="F18" s="5" t="inlineStr">
        <is>
          <t>Entra user list</t>
        </is>
      </c>
      <c r="G18" s="5" t="inlineStr">
        <is>
          <t>Monthly</t>
        </is>
      </c>
      <c r="H18" s="7" t="inlineStr"/>
      <c r="I18" s="7" t="inlineStr"/>
      <c r="J18" s="7" t="inlineStr"/>
    </row>
    <row r="19">
      <c r="A19" s="5" t="inlineStr">
        <is>
          <t>T01</t>
        </is>
      </c>
      <c r="B19" s="5" t="inlineStr">
        <is>
          <t>Cyber liability insurance</t>
        </is>
      </c>
      <c r="C19" s="5" t="inlineStr">
        <is>
          <t>Brian Adeyemi</t>
        </is>
      </c>
      <c r="D19" s="5" t="inlineStr">
        <is>
          <t>Policy in force / coverage vs residual ALE</t>
        </is>
      </c>
      <c r="E19" s="5" t="inlineStr">
        <is>
          <t>Yes / ≥ 100%</t>
        </is>
      </c>
      <c r="F19" s="5" t="inlineStr">
        <is>
          <t>Insurance certificate</t>
        </is>
      </c>
      <c r="G19" s="5" t="inlineStr">
        <is>
          <t>Annually</t>
        </is>
      </c>
      <c r="H19" s="7" t="inlineStr"/>
      <c r="I19" s="7" t="inlineStr"/>
      <c r="J19" s="7" t="inlineStr"/>
    </row>
    <row r="20">
      <c r="A20" s="5" t="inlineStr">
        <is>
          <t>A01</t>
        </is>
      </c>
      <c r="B20" s="5" t="inlineStr">
        <is>
          <t>Formal acceptance — accidental deletion</t>
        </is>
      </c>
      <c r="C20" s="5" t="inlineStr">
        <is>
          <t>Kevin O'Brien</t>
        </is>
      </c>
      <c r="D20" s="5" t="inlineStr">
        <is>
          <t>Number of admins / incidents</t>
        </is>
      </c>
      <c r="E20" s="5" t="inlineStr">
        <is>
          <t>≤ 4 / 0</t>
        </is>
      </c>
      <c r="F20" s="5" t="inlineStr">
        <is>
          <t>Entra roles; incident log</t>
        </is>
      </c>
      <c r="G20" s="5" t="inlineStr">
        <is>
          <t>Annually</t>
        </is>
      </c>
      <c r="H20" s="7" t="inlineStr"/>
      <c r="I20" s="7" t="inlineStr"/>
      <c r="J20" s="7" t="inlineStr"/>
    </row>
  </sheetData>
  <conditionalFormatting sqref="H5:H20">
    <cfRule type="expression" priority="1" dxfId="5">
      <formula>H5="G"</formula>
    </cfRule>
    <cfRule type="expression" priority="2" dxfId="6">
      <formula>H5="A"</formula>
    </cfRule>
    <cfRule type="expression" priority="3" dxfId="7">
      <formula>H5="R"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N20"/>
  <sheetViews>
    <sheetView zoomScale="11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7" customWidth="1" min="4" max="4"/>
    <col width="7" customWidth="1" min="5" max="5"/>
    <col width="7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>
      <c r="A1" s="1" t="inlineStr">
        <is>
          <t>Implementation Timeline (week 1 = Oct 19, 2026)</t>
        </is>
      </c>
    </row>
    <row r="2">
      <c r="A2" s="2" t="inlineStr">
        <is>
          <t>Bars are formulas: a cell fills when the week falls inside start..start+weeks−1</t>
        </is>
      </c>
    </row>
    <row r="4" ht="32" customHeight="1">
      <c r="A4" s="4" t="inlineStr">
        <is>
          <t>ID</t>
        </is>
      </c>
      <c r="B4" s="4" t="inlineStr">
        <is>
          <t>Control</t>
        </is>
      </c>
      <c r="C4" s="4" t="inlineStr">
        <is>
          <t>Owner</t>
        </is>
      </c>
      <c r="D4" s="4" t="inlineStr">
        <is>
          <t>Phase</t>
        </is>
      </c>
      <c r="E4" s="4" t="inlineStr">
        <is>
          <t>Start</t>
        </is>
      </c>
      <c r="F4" s="4" t="inlineStr">
        <is>
          <t>Weeks</t>
        </is>
      </c>
      <c r="G4" s="4" t="inlineStr">
        <is>
          <t>W1</t>
        </is>
      </c>
      <c r="H4" s="4" t="inlineStr">
        <is>
          <t>W2</t>
        </is>
      </c>
      <c r="I4" s="4" t="inlineStr">
        <is>
          <t>W3</t>
        </is>
      </c>
      <c r="J4" s="4" t="inlineStr">
        <is>
          <t>W4</t>
        </is>
      </c>
      <c r="K4" s="4" t="inlineStr">
        <is>
          <t>W5</t>
        </is>
      </c>
      <c r="L4" s="4" t="inlineStr">
        <is>
          <t>W6</t>
        </is>
      </c>
      <c r="M4" s="4" t="inlineStr">
        <is>
          <t>W7</t>
        </is>
      </c>
      <c r="N4" s="4" t="inlineStr">
        <is>
          <t>W8</t>
        </is>
      </c>
    </row>
    <row r="5">
      <c r="A5" s="5" t="inlineStr">
        <is>
          <t>C01</t>
        </is>
      </c>
      <c r="B5" s="5" t="inlineStr">
        <is>
          <t>Central logging, alerting and flow logs</t>
        </is>
      </c>
      <c r="C5" s="5" t="inlineStr">
        <is>
          <t>Fatima Ali</t>
        </is>
      </c>
      <c r="D5" s="5" t="n">
        <v>2</v>
      </c>
      <c r="E5" s="7" t="n">
        <v>3</v>
      </c>
      <c r="F5" s="7" t="n">
        <v>2</v>
      </c>
      <c r="G5" s="5">
        <f>IF(AND(1&gt;=$E5,1&lt;$E5+$F5),"■","")</f>
        <v/>
      </c>
      <c r="H5" s="5">
        <f>IF(AND(2&gt;=$E5,2&lt;$E5+$F5),"■","")</f>
        <v/>
      </c>
      <c r="I5" s="5">
        <f>IF(AND(3&gt;=$E5,3&lt;$E5+$F5),"■","")</f>
        <v/>
      </c>
      <c r="J5" s="5">
        <f>IF(AND(4&gt;=$E5,4&lt;$E5+$F5),"■","")</f>
        <v/>
      </c>
      <c r="K5" s="5">
        <f>IF(AND(5&gt;=$E5,5&lt;$E5+$F5),"■","")</f>
        <v/>
      </c>
      <c r="L5" s="5">
        <f>IF(AND(6&gt;=$E5,6&lt;$E5+$F5),"■","")</f>
        <v/>
      </c>
      <c r="M5" s="5">
        <f>IF(AND(7&gt;=$E5,7&lt;$E5+$F5),"■","")</f>
        <v/>
      </c>
      <c r="N5" s="5">
        <f>IF(AND(8&gt;=$E5,8&lt;$E5+$F5),"■","")</f>
        <v/>
      </c>
    </row>
    <row r="6">
      <c r="A6" s="5" t="inlineStr">
        <is>
          <t>C02</t>
        </is>
      </c>
      <c r="B6" s="5" t="inlineStr">
        <is>
          <t>EHR storage network lockdown</t>
        </is>
      </c>
      <c r="C6" s="5" t="inlineStr">
        <is>
          <t>Fatima Ali</t>
        </is>
      </c>
      <c r="D6" s="5" t="n">
        <v>1</v>
      </c>
      <c r="E6" s="7" t="n">
        <v>1</v>
      </c>
      <c r="F6" s="7" t="n">
        <v>1</v>
      </c>
      <c r="G6" s="5">
        <f>IF(AND(1&gt;=$E6,1&lt;$E6+$F6),"■","")</f>
        <v/>
      </c>
      <c r="H6" s="5">
        <f>IF(AND(2&gt;=$E6,2&lt;$E6+$F6),"■","")</f>
        <v/>
      </c>
      <c r="I6" s="5">
        <f>IF(AND(3&gt;=$E6,3&lt;$E6+$F6),"■","")</f>
        <v/>
      </c>
      <c r="J6" s="5">
        <f>IF(AND(4&gt;=$E6,4&lt;$E6+$F6),"■","")</f>
        <v/>
      </c>
      <c r="K6" s="5">
        <f>IF(AND(5&gt;=$E6,5&lt;$E6+$F6),"■","")</f>
        <v/>
      </c>
      <c r="L6" s="5">
        <f>IF(AND(6&gt;=$E6,6&lt;$E6+$F6),"■","")</f>
        <v/>
      </c>
      <c r="M6" s="5">
        <f>IF(AND(7&gt;=$E6,7&lt;$E6+$F6),"■","")</f>
        <v/>
      </c>
      <c r="N6" s="5">
        <f>IF(AND(8&gt;=$E6,8&lt;$E6+$F6),"■","")</f>
        <v/>
      </c>
    </row>
    <row r="7">
      <c r="A7" s="5" t="inlineStr">
        <is>
          <t>C03</t>
        </is>
      </c>
      <c r="B7" s="5" t="inlineStr">
        <is>
          <t>Enforced network segmentation</t>
        </is>
      </c>
      <c r="C7" s="5" t="inlineStr">
        <is>
          <t>Fatima Ali</t>
        </is>
      </c>
      <c r="D7" s="5" t="n">
        <v>1</v>
      </c>
      <c r="E7" s="7" t="n">
        <v>1</v>
      </c>
      <c r="F7" s="7" t="n">
        <v>1</v>
      </c>
      <c r="G7" s="5">
        <f>IF(AND(1&gt;=$E7,1&lt;$E7+$F7),"■","")</f>
        <v/>
      </c>
      <c r="H7" s="5">
        <f>IF(AND(2&gt;=$E7,2&lt;$E7+$F7),"■","")</f>
        <v/>
      </c>
      <c r="I7" s="5">
        <f>IF(AND(3&gt;=$E7,3&lt;$E7+$F7),"■","")</f>
        <v/>
      </c>
      <c r="J7" s="5">
        <f>IF(AND(4&gt;=$E7,4&lt;$E7+$F7),"■","")</f>
        <v/>
      </c>
      <c r="K7" s="5">
        <f>IF(AND(5&gt;=$E7,5&lt;$E7+$F7),"■","")</f>
        <v/>
      </c>
      <c r="L7" s="5">
        <f>IF(AND(6&gt;=$E7,6&lt;$E7+$F7),"■","")</f>
        <v/>
      </c>
      <c r="M7" s="5">
        <f>IF(AND(7&gt;=$E7,7&lt;$E7+$F7),"■","")</f>
        <v/>
      </c>
      <c r="N7" s="5">
        <f>IF(AND(8&gt;=$E7,8&lt;$E7+$F7),"■","")</f>
        <v/>
      </c>
    </row>
    <row r="8">
      <c r="A8" s="5" t="inlineStr">
        <is>
          <t>C04</t>
        </is>
      </c>
      <c r="B8" s="5" t="inlineStr">
        <is>
          <t>Privileged access resilience</t>
        </is>
      </c>
      <c r="C8" s="5" t="inlineStr">
        <is>
          <t>Sabitha S Karanavar</t>
        </is>
      </c>
      <c r="D8" s="5" t="n">
        <v>1</v>
      </c>
      <c r="E8" s="7" t="n">
        <v>1</v>
      </c>
      <c r="F8" s="7" t="n">
        <v>1</v>
      </c>
      <c r="G8" s="5">
        <f>IF(AND(1&gt;=$E8,1&lt;$E8+$F8),"■","")</f>
        <v/>
      </c>
      <c r="H8" s="5">
        <f>IF(AND(2&gt;=$E8,2&lt;$E8+$F8),"■","")</f>
        <v/>
      </c>
      <c r="I8" s="5">
        <f>IF(AND(3&gt;=$E8,3&lt;$E8+$F8),"■","")</f>
        <v/>
      </c>
      <c r="J8" s="5">
        <f>IF(AND(4&gt;=$E8,4&lt;$E8+$F8),"■","")</f>
        <v/>
      </c>
      <c r="K8" s="5">
        <f>IF(AND(5&gt;=$E8,5&lt;$E8+$F8),"■","")</f>
        <v/>
      </c>
      <c r="L8" s="5">
        <f>IF(AND(6&gt;=$E8,6&lt;$E8+$F8),"■","")</f>
        <v/>
      </c>
      <c r="M8" s="5">
        <f>IF(AND(7&gt;=$E8,7&lt;$E8+$F8),"■","")</f>
        <v/>
      </c>
      <c r="N8" s="5">
        <f>IF(AND(8&gt;=$E8,8&lt;$E8+$F8),"■","")</f>
        <v/>
      </c>
    </row>
    <row r="9">
      <c r="A9" s="5" t="inlineStr">
        <is>
          <t>C05</t>
        </is>
      </c>
      <c r="B9" s="5" t="inlineStr">
        <is>
          <t>Ransomware-resilient recovery</t>
        </is>
      </c>
      <c r="C9" s="5" t="inlineStr">
        <is>
          <t>Fatima Ali</t>
        </is>
      </c>
      <c r="D9" s="5" t="n">
        <v>2</v>
      </c>
      <c r="E9" s="7" t="n">
        <v>3</v>
      </c>
      <c r="F9" s="7" t="n">
        <v>3</v>
      </c>
      <c r="G9" s="5">
        <f>IF(AND(1&gt;=$E9,1&lt;$E9+$F9),"■","")</f>
        <v/>
      </c>
      <c r="H9" s="5">
        <f>IF(AND(2&gt;=$E9,2&lt;$E9+$F9),"■","")</f>
        <v/>
      </c>
      <c r="I9" s="5">
        <f>IF(AND(3&gt;=$E9,3&lt;$E9+$F9),"■","")</f>
        <v/>
      </c>
      <c r="J9" s="5">
        <f>IF(AND(4&gt;=$E9,4&lt;$E9+$F9),"■","")</f>
        <v/>
      </c>
      <c r="K9" s="5">
        <f>IF(AND(5&gt;=$E9,5&lt;$E9+$F9),"■","")</f>
        <v/>
      </c>
      <c r="L9" s="5">
        <f>IF(AND(6&gt;=$E9,6&lt;$E9+$F9),"■","")</f>
        <v/>
      </c>
      <c r="M9" s="5">
        <f>IF(AND(7&gt;=$E9,7&lt;$E9+$F9),"■","")</f>
        <v/>
      </c>
      <c r="N9" s="5">
        <f>IF(AND(8&gt;=$E9,8&lt;$E9+$F9),"■","")</f>
        <v/>
      </c>
    </row>
    <row r="10">
      <c r="A10" s="5" t="inlineStr">
        <is>
          <t>C06</t>
        </is>
      </c>
      <c r="B10" s="5" t="inlineStr">
        <is>
          <t>Malware scanning for EHR uploads</t>
        </is>
      </c>
      <c r="C10" s="5" t="inlineStr">
        <is>
          <t>Denise Coleman</t>
        </is>
      </c>
      <c r="D10" s="5" t="n">
        <v>2</v>
      </c>
      <c r="E10" s="7" t="n">
        <v>4</v>
      </c>
      <c r="F10" s="7" t="n">
        <v>1</v>
      </c>
      <c r="G10" s="5">
        <f>IF(AND(1&gt;=$E10,1&lt;$E10+$F10),"■","")</f>
        <v/>
      </c>
      <c r="H10" s="5">
        <f>IF(AND(2&gt;=$E10,2&lt;$E10+$F10),"■","")</f>
        <v/>
      </c>
      <c r="I10" s="5">
        <f>IF(AND(3&gt;=$E10,3&lt;$E10+$F10),"■","")</f>
        <v/>
      </c>
      <c r="J10" s="5">
        <f>IF(AND(4&gt;=$E10,4&lt;$E10+$F10),"■","")</f>
        <v/>
      </c>
      <c r="K10" s="5">
        <f>IF(AND(5&gt;=$E10,5&lt;$E10+$F10),"■","")</f>
        <v/>
      </c>
      <c r="L10" s="5">
        <f>IF(AND(6&gt;=$E10,6&lt;$E10+$F10),"■","")</f>
        <v/>
      </c>
      <c r="M10" s="5">
        <f>IF(AND(7&gt;=$E10,7&lt;$E10+$F10),"■","")</f>
        <v/>
      </c>
      <c r="N10" s="5">
        <f>IF(AND(8&gt;=$E10,8&lt;$E10+$F10),"■","")</f>
        <v/>
      </c>
    </row>
    <row r="11">
      <c r="A11" s="5" t="inlineStr">
        <is>
          <t>C07</t>
        </is>
      </c>
      <c r="B11" s="5" t="inlineStr">
        <is>
          <t>Conditional Access and phishing-resistant MFA</t>
        </is>
      </c>
      <c r="C11" s="5" t="inlineStr">
        <is>
          <t>Sabitha S Karanavar</t>
        </is>
      </c>
      <c r="D11" s="5" t="n">
        <v>3</v>
      </c>
      <c r="E11" s="7" t="n">
        <v>6</v>
      </c>
      <c r="F11" s="7" t="n">
        <v>3</v>
      </c>
      <c r="G11" s="5">
        <f>IF(AND(1&gt;=$E11,1&lt;$E11+$F11),"■","")</f>
        <v/>
      </c>
      <c r="H11" s="5">
        <f>IF(AND(2&gt;=$E11,2&lt;$E11+$F11),"■","")</f>
        <v/>
      </c>
      <c r="I11" s="5">
        <f>IF(AND(3&gt;=$E11,3&lt;$E11+$F11),"■","")</f>
        <v/>
      </c>
      <c r="J11" s="5">
        <f>IF(AND(4&gt;=$E11,4&lt;$E11+$F11),"■","")</f>
        <v/>
      </c>
      <c r="K11" s="5">
        <f>IF(AND(5&gt;=$E11,5&lt;$E11+$F11),"■","")</f>
        <v/>
      </c>
      <c r="L11" s="5">
        <f>IF(AND(6&gt;=$E11,6&lt;$E11+$F11),"■","")</f>
        <v/>
      </c>
      <c r="M11" s="5">
        <f>IF(AND(7&gt;=$E11,7&lt;$E11+$F11),"■","")</f>
        <v/>
      </c>
      <c r="N11" s="5">
        <f>IF(AND(8&gt;=$E11,8&lt;$E11+$F11),"■","")</f>
        <v/>
      </c>
    </row>
    <row r="12">
      <c r="A12" s="5" t="inlineStr">
        <is>
          <t>C08</t>
        </is>
      </c>
      <c r="B12" s="5" t="inlineStr">
        <is>
          <t>Tenant hardening</t>
        </is>
      </c>
      <c r="C12" s="5" t="inlineStr">
        <is>
          <t>Sabitha S Karanavar</t>
        </is>
      </c>
      <c r="D12" s="5" t="n">
        <v>1</v>
      </c>
      <c r="E12" s="7" t="n">
        <v>1</v>
      </c>
      <c r="F12" s="7" t="n">
        <v>1</v>
      </c>
      <c r="G12" s="5">
        <f>IF(AND(1&gt;=$E12,1&lt;$E12+$F12),"■","")</f>
        <v/>
      </c>
      <c r="H12" s="5">
        <f>IF(AND(2&gt;=$E12,2&lt;$E12+$F12),"■","")</f>
        <v/>
      </c>
      <c r="I12" s="5">
        <f>IF(AND(3&gt;=$E12,3&lt;$E12+$F12),"■","")</f>
        <v/>
      </c>
      <c r="J12" s="5">
        <f>IF(AND(4&gt;=$E12,4&lt;$E12+$F12),"■","")</f>
        <v/>
      </c>
      <c r="K12" s="5">
        <f>IF(AND(5&gt;=$E12,5&lt;$E12+$F12),"■","")</f>
        <v/>
      </c>
      <c r="L12" s="5">
        <f>IF(AND(6&gt;=$E12,6&lt;$E12+$F12),"■","")</f>
        <v/>
      </c>
      <c r="M12" s="5">
        <f>IF(AND(7&gt;=$E12,7&lt;$E12+$F12),"■","")</f>
        <v/>
      </c>
      <c r="N12" s="5">
        <f>IF(AND(8&gt;=$E12,8&lt;$E12+$F12),"■","")</f>
        <v/>
      </c>
    </row>
    <row r="13">
      <c r="A13" s="5" t="inlineStr">
        <is>
          <t>C09</t>
        </is>
      </c>
      <c r="B13" s="5" t="inlineStr">
        <is>
          <t>EHR access auditing and owner review</t>
        </is>
      </c>
      <c r="C13" s="5" t="inlineStr">
        <is>
          <t>Denise Coleman</t>
        </is>
      </c>
      <c r="D13" s="5" t="n">
        <v>3</v>
      </c>
      <c r="E13" s="7" t="n">
        <v>6</v>
      </c>
      <c r="F13" s="7" t="n">
        <v>3</v>
      </c>
      <c r="G13" s="5">
        <f>IF(AND(1&gt;=$E13,1&lt;$E13+$F13),"■","")</f>
        <v/>
      </c>
      <c r="H13" s="5">
        <f>IF(AND(2&gt;=$E13,2&lt;$E13+$F13),"■","")</f>
        <v/>
      </c>
      <c r="I13" s="5">
        <f>IF(AND(3&gt;=$E13,3&lt;$E13+$F13),"■","")</f>
        <v/>
      </c>
      <c r="J13" s="5">
        <f>IF(AND(4&gt;=$E13,4&lt;$E13+$F13),"■","")</f>
        <v/>
      </c>
      <c r="K13" s="5">
        <f>IF(AND(5&gt;=$E13,5&lt;$E13+$F13),"■","")</f>
        <v/>
      </c>
      <c r="L13" s="5">
        <f>IF(AND(6&gt;=$E13,6&lt;$E13+$F13),"■","")</f>
        <v/>
      </c>
      <c r="M13" s="5">
        <f>IF(AND(7&gt;=$E13,7&lt;$E13+$F13),"■","")</f>
        <v/>
      </c>
      <c r="N13" s="5">
        <f>IF(AND(8&gt;=$E13,8&lt;$E13+$F13),"■","")</f>
        <v/>
      </c>
    </row>
    <row r="14">
      <c r="A14" s="5" t="inlineStr">
        <is>
          <t>C10</t>
        </is>
      </c>
      <c r="B14" s="5" t="inlineStr">
        <is>
          <t>Sanction policy and training tracking</t>
        </is>
      </c>
      <c r="C14" s="5" t="inlineStr">
        <is>
          <t>Daniel Osei</t>
        </is>
      </c>
      <c r="D14" s="5" t="n">
        <v>2</v>
      </c>
      <c r="E14" s="7" t="n">
        <v>3</v>
      </c>
      <c r="F14" s="7" t="n">
        <v>2</v>
      </c>
      <c r="G14" s="5">
        <f>IF(AND(1&gt;=$E14,1&lt;$E14+$F14),"■","")</f>
        <v/>
      </c>
      <c r="H14" s="5">
        <f>IF(AND(2&gt;=$E14,2&lt;$E14+$F14),"■","")</f>
        <v/>
      </c>
      <c r="I14" s="5">
        <f>IF(AND(3&gt;=$E14,3&lt;$E14+$F14),"■","")</f>
        <v/>
      </c>
      <c r="J14" s="5">
        <f>IF(AND(4&gt;=$E14,4&lt;$E14+$F14),"■","")</f>
        <v/>
      </c>
      <c r="K14" s="5">
        <f>IF(AND(5&gt;=$E14,5&lt;$E14+$F14),"■","")</f>
        <v/>
      </c>
      <c r="L14" s="5">
        <f>IF(AND(6&gt;=$E14,6&lt;$E14+$F14),"■","")</f>
        <v/>
      </c>
      <c r="M14" s="5">
        <f>IF(AND(7&gt;=$E14,7&lt;$E14+$F14),"■","")</f>
        <v/>
      </c>
      <c r="N14" s="5">
        <f>IF(AND(8&gt;=$E14,8&lt;$E14+$F14),"■","")</f>
        <v/>
      </c>
    </row>
    <row r="15">
      <c r="A15" s="5" t="inlineStr">
        <is>
          <t>C11</t>
        </is>
      </c>
      <c r="B15" s="5" t="inlineStr">
        <is>
          <t>Privacy Officer and breach procedure</t>
        </is>
      </c>
      <c r="C15" s="5" t="inlineStr">
        <is>
          <t>Denise Coleman</t>
        </is>
      </c>
      <c r="D15" s="5" t="n">
        <v>3</v>
      </c>
      <c r="E15" s="7" t="n">
        <v>5</v>
      </c>
      <c r="F15" s="7" t="n">
        <v>3</v>
      </c>
      <c r="G15" s="5">
        <f>IF(AND(1&gt;=$E15,1&lt;$E15+$F15),"■","")</f>
        <v/>
      </c>
      <c r="H15" s="5">
        <f>IF(AND(2&gt;=$E15,2&lt;$E15+$F15),"■","")</f>
        <v/>
      </c>
      <c r="I15" s="5">
        <f>IF(AND(3&gt;=$E15,3&lt;$E15+$F15),"■","")</f>
        <v/>
      </c>
      <c r="J15" s="5">
        <f>IF(AND(4&gt;=$E15,4&lt;$E15+$F15),"■","")</f>
        <v/>
      </c>
      <c r="K15" s="5">
        <f>IF(AND(5&gt;=$E15,5&lt;$E15+$F15),"■","")</f>
        <v/>
      </c>
      <c r="L15" s="5">
        <f>IF(AND(6&gt;=$E15,6&lt;$E15+$F15),"■","")</f>
        <v/>
      </c>
      <c r="M15" s="5">
        <f>IF(AND(7&gt;=$E15,7&lt;$E15+$F15),"■","")</f>
        <v/>
      </c>
      <c r="N15" s="5">
        <f>IF(AND(8&gt;=$E15,8&lt;$E15+$F15),"■","")</f>
        <v/>
      </c>
    </row>
    <row r="16">
      <c r="A16" s="5" t="inlineStr">
        <is>
          <t>C12</t>
        </is>
      </c>
      <c r="B16" s="5" t="inlineStr">
        <is>
          <t>Contractor lifecycle and BAA</t>
        </is>
      </c>
      <c r="C16" s="5" t="inlineStr">
        <is>
          <t>Kevin O'Brien</t>
        </is>
      </c>
      <c r="D16" s="5" t="n">
        <v>1</v>
      </c>
      <c r="E16" s="7" t="n">
        <v>1</v>
      </c>
      <c r="F16" s="7" t="n">
        <v>2</v>
      </c>
      <c r="G16" s="5">
        <f>IF(AND(1&gt;=$E16,1&lt;$E16+$F16),"■","")</f>
        <v/>
      </c>
      <c r="H16" s="5">
        <f>IF(AND(2&gt;=$E16,2&lt;$E16+$F16),"■","")</f>
        <v/>
      </c>
      <c r="I16" s="5">
        <f>IF(AND(3&gt;=$E16,3&lt;$E16+$F16),"■","")</f>
        <v/>
      </c>
      <c r="J16" s="5">
        <f>IF(AND(4&gt;=$E16,4&lt;$E16+$F16),"■","")</f>
        <v/>
      </c>
      <c r="K16" s="5">
        <f>IF(AND(5&gt;=$E16,5&lt;$E16+$F16),"■","")</f>
        <v/>
      </c>
      <c r="L16" s="5">
        <f>IF(AND(6&gt;=$E16,6&lt;$E16+$F16),"■","")</f>
        <v/>
      </c>
      <c r="M16" s="5">
        <f>IF(AND(7&gt;=$E16,7&lt;$E16+$F16),"■","")</f>
        <v/>
      </c>
      <c r="N16" s="5">
        <f>IF(AND(8&gt;=$E16,8&lt;$E16+$F16),"■","")</f>
        <v/>
      </c>
    </row>
    <row r="17">
      <c r="A17" s="5" t="inlineStr">
        <is>
          <t>C13</t>
        </is>
      </c>
      <c r="B17" s="5" t="inlineStr">
        <is>
          <t>Decommission legacy public server</t>
        </is>
      </c>
      <c r="C17" s="5" t="inlineStr">
        <is>
          <t>Kevin O'Brien</t>
        </is>
      </c>
      <c r="D17" s="5" t="n">
        <v>1</v>
      </c>
      <c r="E17" s="7" t="n">
        <v>2</v>
      </c>
      <c r="F17" s="7" t="n">
        <v>1</v>
      </c>
      <c r="G17" s="5">
        <f>IF(AND(1&gt;=$E17,1&lt;$E17+$F17),"■","")</f>
        <v/>
      </c>
      <c r="H17" s="5">
        <f>IF(AND(2&gt;=$E17,2&lt;$E17+$F17),"■","")</f>
        <v/>
      </c>
      <c r="I17" s="5">
        <f>IF(AND(3&gt;=$E17,3&lt;$E17+$F17),"■","")</f>
        <v/>
      </c>
      <c r="J17" s="5">
        <f>IF(AND(4&gt;=$E17,4&lt;$E17+$F17),"■","")</f>
        <v/>
      </c>
      <c r="K17" s="5">
        <f>IF(AND(5&gt;=$E17,5&lt;$E17+$F17),"■","")</f>
        <v/>
      </c>
      <c r="L17" s="5">
        <f>IF(AND(6&gt;=$E17,6&lt;$E17+$F17),"■","")</f>
        <v/>
      </c>
      <c r="M17" s="5">
        <f>IF(AND(7&gt;=$E17,7&lt;$E17+$F17),"■","")</f>
        <v/>
      </c>
      <c r="N17" s="5">
        <f>IF(AND(8&gt;=$E17,8&lt;$E17+$F17),"■","")</f>
        <v/>
      </c>
    </row>
    <row r="18">
      <c r="A18" s="5" t="inlineStr">
        <is>
          <t>C14</t>
        </is>
      </c>
      <c r="B18" s="5" t="inlineStr">
        <is>
          <t>Separate test from production</t>
        </is>
      </c>
      <c r="C18" s="5" t="inlineStr">
        <is>
          <t>Sabitha S Karanavar</t>
        </is>
      </c>
      <c r="D18" s="5" t="n">
        <v>1</v>
      </c>
      <c r="E18" s="7" t="n">
        <v>1</v>
      </c>
      <c r="F18" s="7" t="n">
        <v>1</v>
      </c>
      <c r="G18" s="5">
        <f>IF(AND(1&gt;=$E18,1&lt;$E18+$F18),"■","")</f>
        <v/>
      </c>
      <c r="H18" s="5">
        <f>IF(AND(2&gt;=$E18,2&lt;$E18+$F18),"■","")</f>
        <v/>
      </c>
      <c r="I18" s="5">
        <f>IF(AND(3&gt;=$E18,3&lt;$E18+$F18),"■","")</f>
        <v/>
      </c>
      <c r="J18" s="5">
        <f>IF(AND(4&gt;=$E18,4&lt;$E18+$F18),"■","")</f>
        <v/>
      </c>
      <c r="K18" s="5">
        <f>IF(AND(5&gt;=$E18,5&lt;$E18+$F18),"■","")</f>
        <v/>
      </c>
      <c r="L18" s="5">
        <f>IF(AND(6&gt;=$E18,6&lt;$E18+$F18),"■","")</f>
        <v/>
      </c>
      <c r="M18" s="5">
        <f>IF(AND(7&gt;=$E18,7&lt;$E18+$F18),"■","")</f>
        <v/>
      </c>
      <c r="N18" s="5">
        <f>IF(AND(8&gt;=$E18,8&lt;$E18+$F18),"■","")</f>
        <v/>
      </c>
    </row>
    <row r="19">
      <c r="A19" s="5" t="inlineStr">
        <is>
          <t>T01</t>
        </is>
      </c>
      <c r="B19" s="5" t="inlineStr">
        <is>
          <t>Cyber liability insurance</t>
        </is>
      </c>
      <c r="C19" s="5" t="inlineStr">
        <is>
          <t>Brian Adeyemi</t>
        </is>
      </c>
      <c r="D19" s="5" t="n">
        <v>3</v>
      </c>
      <c r="E19" s="7" t="n">
        <v>7</v>
      </c>
      <c r="F19" s="7" t="n">
        <v>2</v>
      </c>
      <c r="G19" s="5">
        <f>IF(AND(1&gt;=$E19,1&lt;$E19+$F19),"■","")</f>
        <v/>
      </c>
      <c r="H19" s="5">
        <f>IF(AND(2&gt;=$E19,2&lt;$E19+$F19),"■","")</f>
        <v/>
      </c>
      <c r="I19" s="5">
        <f>IF(AND(3&gt;=$E19,3&lt;$E19+$F19),"■","")</f>
        <v/>
      </c>
      <c r="J19" s="5">
        <f>IF(AND(4&gt;=$E19,4&lt;$E19+$F19),"■","")</f>
        <v/>
      </c>
      <c r="K19" s="5">
        <f>IF(AND(5&gt;=$E19,5&lt;$E19+$F19),"■","")</f>
        <v/>
      </c>
      <c r="L19" s="5">
        <f>IF(AND(6&gt;=$E19,6&lt;$E19+$F19),"■","")</f>
        <v/>
      </c>
      <c r="M19" s="5">
        <f>IF(AND(7&gt;=$E19,7&lt;$E19+$F19),"■","")</f>
        <v/>
      </c>
      <c r="N19" s="5">
        <f>IF(AND(8&gt;=$E19,8&lt;$E19+$F19),"■","")</f>
        <v/>
      </c>
    </row>
    <row r="20">
      <c r="A20" s="5" t="inlineStr">
        <is>
          <t>A01</t>
        </is>
      </c>
      <c r="B20" s="5" t="inlineStr">
        <is>
          <t>Formal acceptance — accidental deletion</t>
        </is>
      </c>
      <c r="C20" s="5" t="inlineStr">
        <is>
          <t>Kevin O'Brien</t>
        </is>
      </c>
      <c r="D20" s="5" t="n">
        <v>1</v>
      </c>
      <c r="E20" s="7" t="n">
        <v>1</v>
      </c>
      <c r="F20" s="7" t="n">
        <v>1</v>
      </c>
      <c r="G20" s="5">
        <f>IF(AND(1&gt;=$E20,1&lt;$E20+$F20),"■","")</f>
        <v/>
      </c>
      <c r="H20" s="5">
        <f>IF(AND(2&gt;=$E20,2&lt;$E20+$F20),"■","")</f>
        <v/>
      </c>
      <c r="I20" s="5">
        <f>IF(AND(3&gt;=$E20,3&lt;$E20+$F20),"■","")</f>
        <v/>
      </c>
      <c r="J20" s="5">
        <f>IF(AND(4&gt;=$E20,4&lt;$E20+$F20),"■","")</f>
        <v/>
      </c>
      <c r="K20" s="5">
        <f>IF(AND(5&gt;=$E20,5&lt;$E20+$F20),"■","")</f>
        <v/>
      </c>
      <c r="L20" s="5">
        <f>IF(AND(6&gt;=$E20,6&lt;$E20+$F20),"■","")</f>
        <v/>
      </c>
      <c r="M20" s="5">
        <f>IF(AND(7&gt;=$E20,7&lt;$E20+$F20),"■","")</f>
        <v/>
      </c>
      <c r="N20" s="5">
        <f>IF(AND(8&gt;=$E20,8&lt;$E20+$F20),"■","")</f>
        <v/>
      </c>
    </row>
  </sheetData>
  <conditionalFormatting sqref="G5:N20">
    <cfRule type="expression" priority="1" dxfId="8">
      <formula>G5="■"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G20"/>
  <sheetViews>
    <sheetView zoomScale="110"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Alignment of Controls to HVMC Business Objectives</t>
        </is>
      </c>
    </row>
    <row r="2">
      <c r="A2" s="2" t="inlineStr">
        <is>
          <t>● = control directly supports the objective</t>
        </is>
      </c>
    </row>
    <row r="4" ht="45" customHeight="1">
      <c r="A4" s="4" t="inlineStr">
        <is>
          <t>Control</t>
        </is>
      </c>
      <c r="B4" s="4" t="inlineStr">
        <is>
          <t>Name</t>
        </is>
      </c>
      <c r="C4" s="4" t="inlineStr">
        <is>
          <t>O1: Continuous, safe patient care</t>
        </is>
      </c>
      <c r="D4" s="4" t="inlineStr">
        <is>
          <t>O2: HIPAA compliance (avoid OCR penalties)</t>
        </is>
      </c>
      <c r="E4" s="4" t="inlineStr">
        <is>
          <t>O3: Protect patient trust and HVMC reputation</t>
        </is>
      </c>
      <c r="F4" s="4" t="inlineStr">
        <is>
          <t>O4: Financial sustainability</t>
        </is>
      </c>
      <c r="G4" s="4" t="inlineStr">
        <is>
          <t>O5: Secure migration of LIS and Pharmacy to Azure</t>
        </is>
      </c>
    </row>
    <row r="5">
      <c r="A5" s="5" t="inlineStr">
        <is>
          <t>C01</t>
        </is>
      </c>
      <c r="B5" s="5" t="inlineStr">
        <is>
          <t>Central logging, alerting and flow logs</t>
        </is>
      </c>
      <c r="C5" s="25" t="inlineStr">
        <is>
          <t>●</t>
        </is>
      </c>
      <c r="D5" s="25" t="inlineStr">
        <is>
          <t>●</t>
        </is>
      </c>
      <c r="E5" s="25" t="inlineStr">
        <is>
          <t>●</t>
        </is>
      </c>
      <c r="F5" s="25" t="inlineStr"/>
      <c r="G5" s="25" t="inlineStr"/>
    </row>
    <row r="6">
      <c r="A6" s="5" t="inlineStr">
        <is>
          <t>C02</t>
        </is>
      </c>
      <c r="B6" s="5" t="inlineStr">
        <is>
          <t>EHR storage network lockdown</t>
        </is>
      </c>
      <c r="C6" s="25" t="inlineStr"/>
      <c r="D6" s="25" t="inlineStr">
        <is>
          <t>●</t>
        </is>
      </c>
      <c r="E6" s="25" t="inlineStr">
        <is>
          <t>●</t>
        </is>
      </c>
      <c r="F6" s="25" t="inlineStr"/>
      <c r="G6" s="25" t="inlineStr"/>
    </row>
    <row r="7">
      <c r="A7" s="5" t="inlineStr">
        <is>
          <t>C03</t>
        </is>
      </c>
      <c r="B7" s="5" t="inlineStr">
        <is>
          <t>Enforced network segmentation</t>
        </is>
      </c>
      <c r="C7" s="25" t="inlineStr">
        <is>
          <t>●</t>
        </is>
      </c>
      <c r="D7" s="25" t="inlineStr">
        <is>
          <t>●</t>
        </is>
      </c>
      <c r="E7" s="25" t="inlineStr"/>
      <c r="F7" s="25" t="inlineStr"/>
      <c r="G7" s="25" t="inlineStr"/>
    </row>
    <row r="8">
      <c r="A8" s="5" t="inlineStr">
        <is>
          <t>C04</t>
        </is>
      </c>
      <c r="B8" s="5" t="inlineStr">
        <is>
          <t>Privileged access resilience</t>
        </is>
      </c>
      <c r="C8" s="25" t="inlineStr">
        <is>
          <t>●</t>
        </is>
      </c>
      <c r="D8" s="25" t="inlineStr">
        <is>
          <t>●</t>
        </is>
      </c>
      <c r="E8" s="25" t="inlineStr"/>
      <c r="F8" s="25" t="inlineStr"/>
      <c r="G8" s="25" t="inlineStr"/>
    </row>
    <row r="9">
      <c r="A9" s="5" t="inlineStr">
        <is>
          <t>C05</t>
        </is>
      </c>
      <c r="B9" s="5" t="inlineStr">
        <is>
          <t>Ransomware-resilient recovery</t>
        </is>
      </c>
      <c r="C9" s="25" t="inlineStr">
        <is>
          <t>●</t>
        </is>
      </c>
      <c r="D9" s="25" t="inlineStr">
        <is>
          <t>●</t>
        </is>
      </c>
      <c r="E9" s="25" t="inlineStr"/>
      <c r="F9" s="25" t="inlineStr">
        <is>
          <t>●</t>
        </is>
      </c>
      <c r="G9" s="25" t="inlineStr"/>
    </row>
    <row r="10">
      <c r="A10" s="5" t="inlineStr">
        <is>
          <t>C06</t>
        </is>
      </c>
      <c r="B10" s="5" t="inlineStr">
        <is>
          <t>Malware scanning for EHR uploads</t>
        </is>
      </c>
      <c r="C10" s="25" t="inlineStr">
        <is>
          <t>●</t>
        </is>
      </c>
      <c r="D10" s="25" t="inlineStr"/>
      <c r="E10" s="25" t="inlineStr">
        <is>
          <t>●</t>
        </is>
      </c>
      <c r="F10" s="25" t="inlineStr"/>
      <c r="G10" s="25" t="inlineStr"/>
    </row>
    <row r="11">
      <c r="A11" s="5" t="inlineStr">
        <is>
          <t>C07</t>
        </is>
      </c>
      <c r="B11" s="5" t="inlineStr">
        <is>
          <t>Conditional Access and phishing-resistant MFA</t>
        </is>
      </c>
      <c r="C11" s="25" t="inlineStr">
        <is>
          <t>●</t>
        </is>
      </c>
      <c r="D11" s="25" t="inlineStr">
        <is>
          <t>●</t>
        </is>
      </c>
      <c r="E11" s="25" t="inlineStr">
        <is>
          <t>●</t>
        </is>
      </c>
      <c r="F11" s="25" t="inlineStr"/>
      <c r="G11" s="25" t="inlineStr"/>
    </row>
    <row r="12">
      <c r="A12" s="5" t="inlineStr">
        <is>
          <t>C08</t>
        </is>
      </c>
      <c r="B12" s="5" t="inlineStr">
        <is>
          <t>Tenant hardening</t>
        </is>
      </c>
      <c r="C12" s="25" t="inlineStr"/>
      <c r="D12" s="25" t="inlineStr">
        <is>
          <t>●</t>
        </is>
      </c>
      <c r="E12" s="25" t="inlineStr">
        <is>
          <t>●</t>
        </is>
      </c>
      <c r="F12" s="25" t="inlineStr"/>
      <c r="G12" s="25" t="inlineStr"/>
    </row>
    <row r="13">
      <c r="A13" s="5" t="inlineStr">
        <is>
          <t>C09</t>
        </is>
      </c>
      <c r="B13" s="5" t="inlineStr">
        <is>
          <t>EHR access auditing and owner review</t>
        </is>
      </c>
      <c r="C13" s="25" t="inlineStr"/>
      <c r="D13" s="25" t="inlineStr">
        <is>
          <t>●</t>
        </is>
      </c>
      <c r="E13" s="25" t="inlineStr">
        <is>
          <t>●</t>
        </is>
      </c>
      <c r="F13" s="25" t="inlineStr"/>
      <c r="G13" s="25" t="inlineStr"/>
    </row>
    <row r="14">
      <c r="A14" s="5" t="inlineStr">
        <is>
          <t>C10</t>
        </is>
      </c>
      <c r="B14" s="5" t="inlineStr">
        <is>
          <t>Sanction policy and training tracking</t>
        </is>
      </c>
      <c r="C14" s="25" t="inlineStr"/>
      <c r="D14" s="25" t="inlineStr">
        <is>
          <t>●</t>
        </is>
      </c>
      <c r="E14" s="25" t="inlineStr"/>
      <c r="F14" s="25" t="inlineStr"/>
      <c r="G14" s="25" t="inlineStr"/>
    </row>
    <row r="15">
      <c r="A15" s="5" t="inlineStr">
        <is>
          <t>C11</t>
        </is>
      </c>
      <c r="B15" s="5" t="inlineStr">
        <is>
          <t>Privacy Officer and breach procedure</t>
        </is>
      </c>
      <c r="C15" s="25" t="inlineStr"/>
      <c r="D15" s="25" t="inlineStr">
        <is>
          <t>●</t>
        </is>
      </c>
      <c r="E15" s="25" t="inlineStr">
        <is>
          <t>●</t>
        </is>
      </c>
      <c r="F15" s="25" t="inlineStr"/>
      <c r="G15" s="25" t="inlineStr"/>
    </row>
    <row r="16">
      <c r="A16" s="5" t="inlineStr">
        <is>
          <t>C12</t>
        </is>
      </c>
      <c r="B16" s="5" t="inlineStr">
        <is>
          <t>Contractor lifecycle and BAA</t>
        </is>
      </c>
      <c r="C16" s="25" t="inlineStr"/>
      <c r="D16" s="25" t="inlineStr">
        <is>
          <t>●</t>
        </is>
      </c>
      <c r="E16" s="25" t="inlineStr"/>
      <c r="F16" s="25" t="inlineStr">
        <is>
          <t>●</t>
        </is>
      </c>
      <c r="G16" s="25" t="inlineStr"/>
    </row>
    <row r="17">
      <c r="A17" s="5" t="inlineStr">
        <is>
          <t>C13</t>
        </is>
      </c>
      <c r="B17" s="5" t="inlineStr">
        <is>
          <t>Decommission legacy public server</t>
        </is>
      </c>
      <c r="C17" s="25" t="inlineStr"/>
      <c r="D17" s="25" t="inlineStr"/>
      <c r="E17" s="25" t="inlineStr">
        <is>
          <t>●</t>
        </is>
      </c>
      <c r="F17" s="25" t="inlineStr">
        <is>
          <t>●</t>
        </is>
      </c>
      <c r="G17" s="25" t="inlineStr"/>
    </row>
    <row r="18">
      <c r="A18" s="5" t="inlineStr">
        <is>
          <t>C14</t>
        </is>
      </c>
      <c r="B18" s="5" t="inlineStr">
        <is>
          <t>Separate test from production</t>
        </is>
      </c>
      <c r="C18" s="25" t="inlineStr"/>
      <c r="D18" s="25" t="inlineStr">
        <is>
          <t>●</t>
        </is>
      </c>
      <c r="E18" s="25" t="inlineStr"/>
      <c r="F18" s="25" t="inlineStr"/>
      <c r="G18" s="25" t="inlineStr"/>
    </row>
    <row r="19">
      <c r="A19" s="5" t="inlineStr">
        <is>
          <t>T01</t>
        </is>
      </c>
      <c r="B19" s="5" t="inlineStr">
        <is>
          <t>Cyber liability insurance</t>
        </is>
      </c>
      <c r="C19" s="25" t="inlineStr"/>
      <c r="D19" s="25" t="inlineStr"/>
      <c r="E19" s="25" t="inlineStr"/>
      <c r="F19" s="25" t="inlineStr">
        <is>
          <t>●</t>
        </is>
      </c>
      <c r="G19" s="25" t="inlineStr"/>
    </row>
    <row r="20">
      <c r="A20" s="5" t="inlineStr">
        <is>
          <t>A01</t>
        </is>
      </c>
      <c r="B20" s="5" t="inlineStr">
        <is>
          <t>Formal acceptance — accidental deletion</t>
        </is>
      </c>
      <c r="C20" s="25" t="inlineStr"/>
      <c r="D20" s="25" t="inlineStr"/>
      <c r="E20" s="25" t="inlineStr"/>
      <c r="F20" s="25" t="inlineStr">
        <is>
          <t>●</t>
        </is>
      </c>
      <c r="G20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2026-10-14T18:30:12Z</dcterms:created>
  <dcterms:modified xsi:type="dcterms:W3CDTF">2026-10-14T18:30:12Z</dcterms:modified>
</cp:coreProperties>
</file>