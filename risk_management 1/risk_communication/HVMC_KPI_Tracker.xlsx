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Framework" sheetId="1" state="visible" r:id="rId1"/>
    <sheet name="Monthly Tracking" sheetId="2" state="visible" r:id="rId2"/>
    <sheet name="KRI Log" sheetId="3" state="visible" r:id="rId3"/>
    <sheet name="Review Process" sheetId="4" state="visible" r:id="rId4"/>
    <sheet name="Stakeholder Plan" sheetId="5" state="visible" r:id="rId5"/>
    <sheet name="Comms Schedu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6B7A9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J16"/>
  <sheetViews>
    <sheetView zoomScale="11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46" customWidth="1" min="4" max="4"/>
    <col width="7" customWidth="1" min="5" max="5"/>
    <col width="11" customWidth="1" min="6" max="6"/>
    <col width="30" customWidth="1" min="7" max="7"/>
    <col width="18" customWidth="1" min="8" max="8"/>
    <col width="26" customWidth="1" min="9" max="9"/>
    <col width="18" customWidth="1" min="10" max="10"/>
  </cols>
  <sheetData>
    <row r="1">
      <c r="A1" s="1" t="inlineStr">
        <is>
          <t>HVMC Risk KPI Framework — leading and lagging indicators</t>
        </is>
      </c>
    </row>
    <row r="2">
      <c r="A2" s="2" t="inlineStr">
        <is>
          <t>Version 1.0 · October 14, 2026 · owners report monthly; Security &amp; Risk Lead consolidates</t>
        </is>
      </c>
    </row>
    <row r="4" ht="30" customHeight="1">
      <c r="A4" s="3" t="inlineStr">
        <is>
          <t>ID</t>
        </is>
      </c>
      <c r="B4" s="3" t="inlineStr">
        <is>
          <t>Type</t>
        </is>
      </c>
      <c r="C4" s="3" t="inlineStr">
        <is>
          <t>KPI</t>
        </is>
      </c>
      <c r="D4" s="3" t="inlineStr">
        <is>
          <t>Definition</t>
        </is>
      </c>
      <c r="E4" s="3" t="inlineStr">
        <is>
          <t>Unit</t>
        </is>
      </c>
      <c r="F4" s="3" t="inlineStr">
        <is>
          <t>Better when</t>
        </is>
      </c>
      <c r="G4" s="3" t="inlineStr">
        <is>
          <t>Thresholds (G / A / R)</t>
        </is>
      </c>
      <c r="H4" s="3" t="inlineStr">
        <is>
          <t>Owner</t>
        </is>
      </c>
      <c r="I4" s="3" t="inlineStr">
        <is>
          <t>Data source</t>
        </is>
      </c>
      <c r="J4" s="3" t="inlineStr">
        <is>
          <t>Linked risks</t>
        </is>
      </c>
    </row>
    <row r="5">
      <c r="A5" s="4" t="inlineStr">
        <is>
          <t>L1</t>
        </is>
      </c>
      <c r="B5" s="4" t="inlineStr">
        <is>
          <t>Leading</t>
        </is>
      </c>
      <c r="C5" s="4" t="inlineStr">
        <is>
          <t>Mitigation controls implemented</t>
        </is>
      </c>
      <c r="D5" s="4" t="inlineStr">
        <is>
          <t>Treatments from the mitigation plan verified complete</t>
        </is>
      </c>
      <c r="E5" s="4" t="inlineStr">
        <is>
          <t>%</t>
        </is>
      </c>
      <c r="F5" s="4" t="inlineStr">
        <is>
          <t>Higher</t>
        </is>
      </c>
      <c r="G5" s="4" t="inlineStr">
        <is>
          <t>G ≥ plan · A within 10 pts · R &gt; 10 pts behind</t>
        </is>
      </c>
      <c r="H5" s="4" t="inlineStr">
        <is>
          <t>Denise Coleman</t>
        </is>
      </c>
      <c r="I5" s="4" t="inlineStr">
        <is>
          <t>Mitigation workbook</t>
        </is>
      </c>
      <c r="J5" s="4" t="inlineStr">
        <is>
          <t>All</t>
        </is>
      </c>
    </row>
    <row r="6">
      <c r="A6" s="4" t="inlineStr">
        <is>
          <t>L2</t>
        </is>
      </c>
      <c r="B6" s="4" t="inlineStr">
        <is>
          <t>Leading</t>
        </is>
      </c>
      <c r="C6" s="4" t="inlineStr">
        <is>
          <t>KRIs at Green</t>
        </is>
      </c>
      <c r="D6" s="4" t="inlineStr">
        <is>
          <t>Share of the 15 automated KRIs reporting Green</t>
        </is>
      </c>
      <c r="E6" s="4" t="inlineStr">
        <is>
          <t>%</t>
        </is>
      </c>
      <c r="F6" s="4" t="inlineStr">
        <is>
          <t>Higher</t>
        </is>
      </c>
      <c r="G6" s="4" t="inlineStr">
        <is>
          <t>G ≥ 90% · A 60–89% · R &lt; 60%</t>
        </is>
      </c>
      <c r="H6" s="4" t="inlineStr">
        <is>
          <t>Anthony Ruiz</t>
        </is>
      </c>
      <c r="I6" s="4" t="inlineStr">
        <is>
          <t>kri_monitor.py (daily)</t>
        </is>
      </c>
      <c r="J6" s="4" t="inlineStr">
        <is>
          <t>All</t>
        </is>
      </c>
    </row>
    <row r="7">
      <c r="A7" s="4" t="inlineStr">
        <is>
          <t>L3</t>
        </is>
      </c>
      <c r="B7" s="4" t="inlineStr">
        <is>
          <t>Leading</t>
        </is>
      </c>
      <c r="C7" s="4" t="inlineStr">
        <is>
          <t>Azure checklist pass rate</t>
        </is>
      </c>
      <c r="D7" s="4" t="inlineStr">
        <is>
          <t>27-item CIS-aligned configuration checklist</t>
        </is>
      </c>
      <c r="E7" s="4" t="inlineStr">
        <is>
          <t>%</t>
        </is>
      </c>
      <c r="F7" s="4" t="inlineStr">
        <is>
          <t>Higher</t>
        </is>
      </c>
      <c r="G7" s="4" t="inlineStr">
        <is>
          <t>G ≥ 90% · A 70–89% · R &lt; 70%</t>
        </is>
      </c>
      <c r="H7" s="4" t="inlineStr">
        <is>
          <t>Anthony Ruiz</t>
        </is>
      </c>
      <c r="I7" s="4" t="inlineStr">
        <is>
          <t>Monthly checklist re-run</t>
        </is>
      </c>
      <c r="J7" s="4" t="inlineStr">
        <is>
          <t>R01–R08, R11, R15</t>
        </is>
      </c>
    </row>
    <row r="8">
      <c r="A8" s="4" t="inlineStr">
        <is>
          <t>L4</t>
        </is>
      </c>
      <c r="B8" s="4" t="inlineStr">
        <is>
          <t>Leading</t>
        </is>
      </c>
      <c r="C8" s="4" t="inlineStr">
        <is>
          <t>Phishing-resistant MFA coverage</t>
        </is>
      </c>
      <c r="D8" s="4" t="inlineStr">
        <is>
          <t>Clinical + admin users with passkey registered</t>
        </is>
      </c>
      <c r="E8" s="4" t="inlineStr">
        <is>
          <t>%</t>
        </is>
      </c>
      <c r="F8" s="4" t="inlineStr">
        <is>
          <t>Higher</t>
        </is>
      </c>
      <c r="G8" s="4" t="inlineStr">
        <is>
          <t>G ≥ 90% · A 60–89% · R &lt; 60%</t>
        </is>
      </c>
      <c r="H8" s="4" t="inlineStr">
        <is>
          <t>Sabitha S Karanavar</t>
        </is>
      </c>
      <c r="I8" s="4" t="inlineStr">
        <is>
          <t>Entra auth-methods report</t>
        </is>
      </c>
      <c r="J8" s="4" t="inlineStr">
        <is>
          <t>R12, R04</t>
        </is>
      </c>
    </row>
    <row r="9">
      <c r="A9" s="4" t="inlineStr">
        <is>
          <t>L5</t>
        </is>
      </c>
      <c r="B9" s="4" t="inlineStr">
        <is>
          <t>Leading</t>
        </is>
      </c>
      <c r="C9" s="4" t="inlineStr">
        <is>
          <t>Access reviews on time</t>
        </is>
      </c>
      <c r="D9" s="4" t="inlineStr">
        <is>
          <t>Quarterly group and contractor reviews completed by due date</t>
        </is>
      </c>
      <c r="E9" s="4" t="inlineStr">
        <is>
          <t>%</t>
        </is>
      </c>
      <c r="F9" s="4" t="inlineStr">
        <is>
          <t>Higher</t>
        </is>
      </c>
      <c r="G9" s="4" t="inlineStr">
        <is>
          <t>G 100% · A ≥ 80% · R &lt; 80%</t>
        </is>
      </c>
      <c r="H9" s="4" t="inlineStr">
        <is>
          <t>Sabitha S Karanavar</t>
        </is>
      </c>
      <c r="I9" s="4" t="inlineStr">
        <is>
          <t>Review log</t>
        </is>
      </c>
      <c r="J9" s="4" t="inlineStr">
        <is>
          <t>R06, R13</t>
        </is>
      </c>
    </row>
    <row r="10">
      <c r="A10" s="4" t="inlineStr">
        <is>
          <t>L6</t>
        </is>
      </c>
      <c r="B10" s="4" t="inlineStr">
        <is>
          <t>Leading</t>
        </is>
      </c>
      <c r="C10" s="4" t="inlineStr">
        <is>
          <t>HIPAA training completion</t>
        </is>
      </c>
      <c r="D10" s="4" t="inlineStr">
        <is>
          <t>Workforce completing annual training (rolling 12 months)</t>
        </is>
      </c>
      <c r="E10" s="4" t="inlineStr">
        <is>
          <t>%</t>
        </is>
      </c>
      <c r="F10" s="4" t="inlineStr">
        <is>
          <t>Higher</t>
        </is>
      </c>
      <c r="G10" s="4" t="inlineStr">
        <is>
          <t>G ≥ 95% · A 80–94% · R &lt; 80%</t>
        </is>
      </c>
      <c r="H10" s="4" t="inlineStr">
        <is>
          <t>Daniel Osei</t>
        </is>
      </c>
      <c r="I10" s="4" t="inlineStr">
        <is>
          <t>HR training records</t>
        </is>
      </c>
      <c r="J10" s="4" t="inlineStr">
        <is>
          <t>R14</t>
        </is>
      </c>
    </row>
    <row r="11">
      <c r="A11" s="4" t="inlineStr">
        <is>
          <t>G1</t>
        </is>
      </c>
      <c r="B11" s="4" t="inlineStr">
        <is>
          <t>Lagging</t>
        </is>
      </c>
      <c r="C11" s="4" t="inlineStr">
        <is>
          <t>High or Critical risks</t>
        </is>
      </c>
      <c r="D11" s="4" t="inlineStr">
        <is>
          <t>Risks rated High/Critical on the weighted model</t>
        </is>
      </c>
      <c r="E11" s="4" t="inlineStr">
        <is>
          <t>count</t>
        </is>
      </c>
      <c r="F11" s="4" t="inlineStr">
        <is>
          <t>Lower</t>
        </is>
      </c>
      <c r="G11" s="4" t="inlineStr">
        <is>
          <t>G 0 · A 1–2 · R ≥ 3</t>
        </is>
      </c>
      <c r="H11" s="4" t="inlineStr">
        <is>
          <t>Denise Coleman</t>
        </is>
      </c>
      <c r="I11" s="4" t="inlineStr">
        <is>
          <t>Risk register</t>
        </is>
      </c>
      <c r="J11" s="4" t="inlineStr">
        <is>
          <t>All</t>
        </is>
      </c>
    </row>
    <row r="12">
      <c r="A12" s="4" t="inlineStr">
        <is>
          <t>G2</t>
        </is>
      </c>
      <c r="B12" s="4" t="inlineStr">
        <is>
          <t>Lagging</t>
        </is>
      </c>
      <c r="C12" s="4" t="inlineStr">
        <is>
          <t>Expected annual loss (top 5)</t>
        </is>
      </c>
      <c r="D12" s="4" t="inlineStr">
        <is>
          <t>ALE of the five quantified risks</t>
        </is>
      </c>
      <c r="E12" s="4" t="inlineStr">
        <is>
          <t>$K</t>
        </is>
      </c>
      <c r="F12" s="4" t="inlineStr">
        <is>
          <t>Lower</t>
        </is>
      </c>
      <c r="G12" s="4" t="inlineStr">
        <is>
          <t>G ≤ $1M · A $1–2M · R &gt; $2M</t>
        </is>
      </c>
      <c r="H12" s="4" t="inlineStr">
        <is>
          <t>Brian Adeyemi</t>
        </is>
      </c>
      <c r="I12" s="4" t="inlineStr">
        <is>
          <t>ALE model</t>
        </is>
      </c>
      <c r="J12" s="4" t="inlineStr">
        <is>
          <t>R01, R02, R05, R12, R13</t>
        </is>
      </c>
    </row>
    <row r="13">
      <c r="A13" s="4" t="inlineStr">
        <is>
          <t>G3</t>
        </is>
      </c>
      <c r="B13" s="4" t="inlineStr">
        <is>
          <t>Lagging</t>
        </is>
      </c>
      <c r="C13" s="4" t="inlineStr">
        <is>
          <t>Open HIPAA gaps</t>
        </is>
      </c>
      <c r="D13" s="4" t="inlineStr">
        <is>
          <t>Gaps G1–G8 from the HIPAA compliance matrix</t>
        </is>
      </c>
      <c r="E13" s="4" t="inlineStr">
        <is>
          <t>count</t>
        </is>
      </c>
      <c r="F13" s="4" t="inlineStr">
        <is>
          <t>Lower</t>
        </is>
      </c>
      <c r="G13" s="4" t="inlineStr">
        <is>
          <t>G 0 · A 1–3 · R ≥ 4</t>
        </is>
      </c>
      <c r="H13" s="4" t="inlineStr">
        <is>
          <t>Denise Coleman</t>
        </is>
      </c>
      <c r="I13" s="4" t="inlineStr">
        <is>
          <t>HIPAA matrix</t>
        </is>
      </c>
      <c r="J13" s="4" t="inlineStr">
        <is>
          <t>G1–G8</t>
        </is>
      </c>
    </row>
    <row r="14">
      <c r="A14" s="4" t="inlineStr">
        <is>
          <t>G4</t>
        </is>
      </c>
      <c r="B14" s="4" t="inlineStr">
        <is>
          <t>Lagging</t>
        </is>
      </c>
      <c r="C14" s="4" t="inlineStr">
        <is>
          <t>Mean time to detect (hours)</t>
        </is>
      </c>
      <c r="D14" s="4" t="inlineStr">
        <is>
          <t>Security events detected from occurrence to alert</t>
        </is>
      </c>
      <c r="E14" s="4" t="inlineStr">
        <is>
          <t>h</t>
        </is>
      </c>
      <c r="F14" s="4" t="inlineStr">
        <is>
          <t>Lower</t>
        </is>
      </c>
      <c r="G14" s="4" t="inlineStr">
        <is>
          <t>G ≤ 4 h · A ≤ 24 h · R &gt; 24 h</t>
        </is>
      </c>
      <c r="H14" s="4" t="inlineStr">
        <is>
          <t>Anthony Ruiz</t>
        </is>
      </c>
      <c r="I14" s="4" t="inlineStr">
        <is>
          <t>Log Analytics incidents</t>
        </is>
      </c>
      <c r="J14" s="4" t="inlineStr">
        <is>
          <t>R01</t>
        </is>
      </c>
    </row>
    <row r="15">
      <c r="A15" s="4" t="inlineStr">
        <is>
          <t>G5</t>
        </is>
      </c>
      <c r="B15" s="4" t="inlineStr">
        <is>
          <t>Lagging</t>
        </is>
      </c>
      <c r="C15" s="4" t="inlineStr">
        <is>
          <t>EHR restore time in drill (hours)</t>
        </is>
      </c>
      <c r="D15" s="4" t="inlineStr">
        <is>
          <t>Measured recovery time in quarterly restore test vs RTO 4 h</t>
        </is>
      </c>
      <c r="E15" s="4" t="inlineStr">
        <is>
          <t>h</t>
        </is>
      </c>
      <c r="F15" s="4" t="inlineStr">
        <is>
          <t>Lower</t>
        </is>
      </c>
      <c r="G15" s="4" t="inlineStr">
        <is>
          <t>G ≤ 4 h · A ≤ 8 h · R &gt; 8 h</t>
        </is>
      </c>
      <c r="H15" s="4" t="inlineStr">
        <is>
          <t>Fatima Ali</t>
        </is>
      </c>
      <c r="I15" s="4" t="inlineStr">
        <is>
          <t>Restore drill record</t>
        </is>
      </c>
      <c r="J15" s="4" t="inlineStr">
        <is>
          <t>R05</t>
        </is>
      </c>
    </row>
    <row r="16">
      <c r="A16" s="4" t="inlineStr">
        <is>
          <t>G6</t>
        </is>
      </c>
      <c r="B16" s="4" t="inlineStr">
        <is>
          <t>Lagging</t>
        </is>
      </c>
      <c r="C16" s="4" t="inlineStr">
        <is>
          <t>ePHI security incidents</t>
        </is>
      </c>
      <c r="D16" s="4" t="inlineStr">
        <is>
          <t>Confirmed incidents involving ePHI</t>
        </is>
      </c>
      <c r="E16" s="4" t="inlineStr">
        <is>
          <t>count</t>
        </is>
      </c>
      <c r="F16" s="4" t="inlineStr">
        <is>
          <t>Lower</t>
        </is>
      </c>
      <c r="G16" s="4" t="inlineStr">
        <is>
          <t>G 0 · A 1 (contained) · R ≥ 1 reportable</t>
        </is>
      </c>
      <c r="H16" s="4" t="inlineStr">
        <is>
          <t>Denise Coleman</t>
        </is>
      </c>
      <c r="I16" s="4" t="inlineStr">
        <is>
          <t>Incident register</t>
        </is>
      </c>
      <c r="J16" s="4" t="inlineStr">
        <is>
          <t>R02, R05, R13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U16"/>
  <sheetViews>
    <sheetView zoomScale="11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KPI tracking — monthly actual vs target</t>
        </is>
      </c>
    </row>
    <row r="2">
      <c r="A2" s="2" t="inlineStr">
        <is>
          <t>Enter actuals in yellow cells. Status: higher-is-better G if ≥ target, A if within 10 pts; lower-is-better G if ≤ target, A if ≤ 125% of target</t>
        </is>
      </c>
    </row>
    <row r="4" ht="30" customHeight="1">
      <c r="A4" s="3" t="inlineStr">
        <is>
          <t>ID</t>
        </is>
      </c>
      <c r="B4" s="3" t="inlineStr">
        <is>
          <t>KPI</t>
        </is>
      </c>
      <c r="C4" s="3" t="inlineStr">
        <is>
          <t>Better when</t>
        </is>
      </c>
      <c r="D4" s="3" t="inlineStr">
        <is>
          <t>Oct target</t>
        </is>
      </c>
      <c r="E4" s="3" t="inlineStr">
        <is>
          <t>Oct actual</t>
        </is>
      </c>
      <c r="F4" s="3" t="inlineStr">
        <is>
          <t>Oct status</t>
        </is>
      </c>
      <c r="G4" s="3" t="inlineStr">
        <is>
          <t>Nov target</t>
        </is>
      </c>
      <c r="H4" s="3" t="inlineStr">
        <is>
          <t>Nov actual</t>
        </is>
      </c>
      <c r="I4" s="3" t="inlineStr">
        <is>
          <t>Nov status</t>
        </is>
      </c>
      <c r="J4" s="3" t="inlineStr">
        <is>
          <t>Dec target</t>
        </is>
      </c>
      <c r="K4" s="3" t="inlineStr">
        <is>
          <t>Dec actual</t>
        </is>
      </c>
      <c r="L4" s="3" t="inlineStr">
        <is>
          <t>Dec status</t>
        </is>
      </c>
      <c r="M4" s="3" t="inlineStr">
        <is>
          <t>Jan target</t>
        </is>
      </c>
      <c r="N4" s="3" t="inlineStr">
        <is>
          <t>Jan actual</t>
        </is>
      </c>
      <c r="O4" s="3" t="inlineStr">
        <is>
          <t>Jan status</t>
        </is>
      </c>
      <c r="P4" s="3" t="inlineStr">
        <is>
          <t>Feb target</t>
        </is>
      </c>
      <c r="Q4" s="3" t="inlineStr">
        <is>
          <t>Feb actual</t>
        </is>
      </c>
      <c r="R4" s="3" t="inlineStr">
        <is>
          <t>Feb status</t>
        </is>
      </c>
      <c r="S4" s="3" t="inlineStr">
        <is>
          <t>Mar target</t>
        </is>
      </c>
      <c r="T4" s="3" t="inlineStr">
        <is>
          <t>Mar actual</t>
        </is>
      </c>
      <c r="U4" s="3" t="inlineStr">
        <is>
          <t>Mar status</t>
        </is>
      </c>
    </row>
    <row r="5">
      <c r="A5" s="4" t="inlineStr">
        <is>
          <t>L1</t>
        </is>
      </c>
      <c r="B5" s="4" t="inlineStr">
        <is>
          <t>Mitigation controls implemented</t>
        </is>
      </c>
      <c r="C5" s="4" t="inlineStr">
        <is>
          <t>Higher</t>
        </is>
      </c>
      <c r="D5" s="4" t="inlineStr">
        <is>
          <t>baseline</t>
        </is>
      </c>
      <c r="E5" s="5" t="n">
        <v>0</v>
      </c>
      <c r="F5" s="4">
        <f>IF(OR(E5="",NOT(ISNUMBER(D5))),"",IF(E5&gt;=D5,"G",IF(E5&gt;=D5-10,"A","R")))</f>
        <v/>
      </c>
      <c r="G5" s="4" t="n">
        <v>44</v>
      </c>
      <c r="H5" s="5" t="n"/>
      <c r="I5" s="4">
        <f>IF(OR(H5="",NOT(ISNUMBER(G5))),"",IF(H5&gt;=G5,"G",IF(H5&gt;=G5-10,"A","R")))</f>
        <v/>
      </c>
      <c r="J5" s="4" t="n">
        <v>88</v>
      </c>
      <c r="K5" s="5" t="n"/>
      <c r="L5" s="4">
        <f>IF(OR(K5="",NOT(ISNUMBER(J5))),"",IF(K5&gt;=J5,"G",IF(K5&gt;=J5-10,"A","R")))</f>
        <v/>
      </c>
      <c r="M5" s="4" t="n">
        <v>100</v>
      </c>
      <c r="N5" s="5" t="n"/>
      <c r="O5" s="4">
        <f>IF(OR(N5="",NOT(ISNUMBER(M5))),"",IF(N5&gt;=M5,"G",IF(N5&gt;=M5-10,"A","R")))</f>
        <v/>
      </c>
      <c r="P5" s="4" t="n">
        <v>100</v>
      </c>
      <c r="Q5" s="5" t="n"/>
      <c r="R5" s="4">
        <f>IF(OR(Q5="",NOT(ISNUMBER(P5))),"",IF(Q5&gt;=P5,"G",IF(Q5&gt;=P5-10,"A","R")))</f>
        <v/>
      </c>
      <c r="S5" s="4" t="n">
        <v>100</v>
      </c>
      <c r="T5" s="5" t="n"/>
      <c r="U5" s="4">
        <f>IF(OR(T5="",NOT(ISNUMBER(S5))),"",IF(T5&gt;=S5,"G",IF(T5&gt;=S5-10,"A","R")))</f>
        <v/>
      </c>
    </row>
    <row r="6">
      <c r="A6" s="4" t="inlineStr">
        <is>
          <t>L2</t>
        </is>
      </c>
      <c r="B6" s="4" t="inlineStr">
        <is>
          <t>KRIs at Green</t>
        </is>
      </c>
      <c r="C6" s="4" t="inlineStr">
        <is>
          <t>Higher</t>
        </is>
      </c>
      <c r="D6" s="4" t="inlineStr">
        <is>
          <t>baseline</t>
        </is>
      </c>
      <c r="E6" s="5" t="n">
        <v>0</v>
      </c>
      <c r="F6" s="4">
        <f>IF(OR(E6="",NOT(ISNUMBER(D6))),"",IF(E6&gt;=D6,"G",IF(E6&gt;=D6-10,"A","R")))</f>
        <v/>
      </c>
      <c r="G6" s="4" t="n">
        <v>40</v>
      </c>
      <c r="H6" s="5" t="n"/>
      <c r="I6" s="4">
        <f>IF(OR(H6="",NOT(ISNUMBER(G6))),"",IF(H6&gt;=G6,"G",IF(H6&gt;=G6-10,"A","R")))</f>
        <v/>
      </c>
      <c r="J6" s="4" t="n">
        <v>80</v>
      </c>
      <c r="K6" s="5" t="n"/>
      <c r="L6" s="4">
        <f>IF(OR(K6="",NOT(ISNUMBER(J6))),"",IF(K6&gt;=J6,"G",IF(K6&gt;=J6-10,"A","R")))</f>
        <v/>
      </c>
      <c r="M6" s="4" t="n">
        <v>93</v>
      </c>
      <c r="N6" s="5" t="n"/>
      <c r="O6" s="4">
        <f>IF(OR(N6="",NOT(ISNUMBER(M6))),"",IF(N6&gt;=M6,"G",IF(N6&gt;=M6-10,"A","R")))</f>
        <v/>
      </c>
      <c r="P6" s="4" t="n">
        <v>93</v>
      </c>
      <c r="Q6" s="5" t="n"/>
      <c r="R6" s="4">
        <f>IF(OR(Q6="",NOT(ISNUMBER(P6))),"",IF(Q6&gt;=P6,"G",IF(Q6&gt;=P6-10,"A","R")))</f>
        <v/>
      </c>
      <c r="S6" s="4" t="n">
        <v>100</v>
      </c>
      <c r="T6" s="5" t="n"/>
      <c r="U6" s="4">
        <f>IF(OR(T6="",NOT(ISNUMBER(S6))),"",IF(T6&gt;=S6,"G",IF(T6&gt;=S6-10,"A","R")))</f>
        <v/>
      </c>
    </row>
    <row r="7">
      <c r="A7" s="4" t="inlineStr">
        <is>
          <t>L3</t>
        </is>
      </c>
      <c r="B7" s="4" t="inlineStr">
        <is>
          <t>Azure checklist pass rate</t>
        </is>
      </c>
      <c r="C7" s="4" t="inlineStr">
        <is>
          <t>Higher</t>
        </is>
      </c>
      <c r="D7" s="4" t="inlineStr">
        <is>
          <t>baseline</t>
        </is>
      </c>
      <c r="E7" s="5" t="n">
        <v>48</v>
      </c>
      <c r="F7" s="4">
        <f>IF(OR(E7="",NOT(ISNUMBER(D7))),"",IF(E7&gt;=D7,"G",IF(E7&gt;=D7-10,"A","R")))</f>
        <v/>
      </c>
      <c r="G7" s="4" t="n">
        <v>70</v>
      </c>
      <c r="H7" s="5" t="n"/>
      <c r="I7" s="4">
        <f>IF(OR(H7="",NOT(ISNUMBER(G7))),"",IF(H7&gt;=G7,"G",IF(H7&gt;=G7-10,"A","R")))</f>
        <v/>
      </c>
      <c r="J7" s="4" t="n">
        <v>89</v>
      </c>
      <c r="K7" s="5" t="n"/>
      <c r="L7" s="4">
        <f>IF(OR(K7="",NOT(ISNUMBER(J7))),"",IF(K7&gt;=J7,"G",IF(K7&gt;=J7-10,"A","R")))</f>
        <v/>
      </c>
      <c r="M7" s="4" t="n">
        <v>93</v>
      </c>
      <c r="N7" s="5" t="n"/>
      <c r="O7" s="4">
        <f>IF(OR(N7="",NOT(ISNUMBER(M7))),"",IF(N7&gt;=M7,"G",IF(N7&gt;=M7-10,"A","R")))</f>
        <v/>
      </c>
      <c r="P7" s="4" t="n">
        <v>96</v>
      </c>
      <c r="Q7" s="5" t="n"/>
      <c r="R7" s="4">
        <f>IF(OR(Q7="",NOT(ISNUMBER(P7))),"",IF(Q7&gt;=P7,"G",IF(Q7&gt;=P7-10,"A","R")))</f>
        <v/>
      </c>
      <c r="S7" s="4" t="n">
        <v>96</v>
      </c>
      <c r="T7" s="5" t="n"/>
      <c r="U7" s="4">
        <f>IF(OR(T7="",NOT(ISNUMBER(S7))),"",IF(T7&gt;=S7,"G",IF(T7&gt;=S7-10,"A","R")))</f>
        <v/>
      </c>
    </row>
    <row r="8">
      <c r="A8" s="4" t="inlineStr">
        <is>
          <t>L4</t>
        </is>
      </c>
      <c r="B8" s="4" t="inlineStr">
        <is>
          <t>Phishing-resistant MFA coverage</t>
        </is>
      </c>
      <c r="C8" s="4" t="inlineStr">
        <is>
          <t>Higher</t>
        </is>
      </c>
      <c r="D8" s="4" t="inlineStr">
        <is>
          <t>baseline</t>
        </is>
      </c>
      <c r="E8" s="5" t="n"/>
      <c r="F8" s="4">
        <f>IF(OR(E8="",NOT(ISNUMBER(D8))),"",IF(E8&gt;=D8,"G",IF(E8&gt;=D8-10,"A","R")))</f>
        <v/>
      </c>
      <c r="G8" s="4" t="n">
        <v>0</v>
      </c>
      <c r="H8" s="5" t="n"/>
      <c r="I8" s="4">
        <f>IF(OR(H8="",NOT(ISNUMBER(G8))),"",IF(H8&gt;=G8,"G",IF(H8&gt;=G8-10,"A","R")))</f>
        <v/>
      </c>
      <c r="J8" s="4" t="n">
        <v>60</v>
      </c>
      <c r="K8" s="5" t="n"/>
      <c r="L8" s="4">
        <f>IF(OR(K8="",NOT(ISNUMBER(J8))),"",IF(K8&gt;=J8,"G",IF(K8&gt;=J8-10,"A","R")))</f>
        <v/>
      </c>
      <c r="M8" s="4" t="n">
        <v>90</v>
      </c>
      <c r="N8" s="5" t="n"/>
      <c r="O8" s="4">
        <f>IF(OR(N8="",NOT(ISNUMBER(M8))),"",IF(N8&gt;=M8,"G",IF(N8&gt;=M8-10,"A","R")))</f>
        <v/>
      </c>
      <c r="P8" s="4" t="n">
        <v>95</v>
      </c>
      <c r="Q8" s="5" t="n"/>
      <c r="R8" s="4">
        <f>IF(OR(Q8="",NOT(ISNUMBER(P8))),"",IF(Q8&gt;=P8,"G",IF(Q8&gt;=P8-10,"A","R")))</f>
        <v/>
      </c>
      <c r="S8" s="4" t="n">
        <v>95</v>
      </c>
      <c r="T8" s="5" t="n"/>
      <c r="U8" s="4">
        <f>IF(OR(T8="",NOT(ISNUMBER(S8))),"",IF(T8&gt;=S8,"G",IF(T8&gt;=S8-10,"A","R")))</f>
        <v/>
      </c>
    </row>
    <row r="9">
      <c r="A9" s="4" t="inlineStr">
        <is>
          <t>L5</t>
        </is>
      </c>
      <c r="B9" s="4" t="inlineStr">
        <is>
          <t>Access reviews on time</t>
        </is>
      </c>
      <c r="C9" s="4" t="inlineStr">
        <is>
          <t>Higher</t>
        </is>
      </c>
      <c r="D9" s="4" t="inlineStr">
        <is>
          <t>baseline</t>
        </is>
      </c>
      <c r="E9" s="5" t="n">
        <v>0</v>
      </c>
      <c r="F9" s="4">
        <f>IF(OR(E9="",NOT(ISNUMBER(D9))),"",IF(E9&gt;=D9,"G",IF(E9&gt;=D9-10,"A","R")))</f>
        <v/>
      </c>
      <c r="G9" s="4" t="n">
        <v>100</v>
      </c>
      <c r="H9" s="5" t="n"/>
      <c r="I9" s="4">
        <f>IF(OR(H9="",NOT(ISNUMBER(G9))),"",IF(H9&gt;=G9,"G",IF(H9&gt;=G9-10,"A","R")))</f>
        <v/>
      </c>
      <c r="J9" s="4" t="n">
        <v>100</v>
      </c>
      <c r="K9" s="5" t="n"/>
      <c r="L9" s="4">
        <f>IF(OR(K9="",NOT(ISNUMBER(J9))),"",IF(K9&gt;=J9,"G",IF(K9&gt;=J9-10,"A","R")))</f>
        <v/>
      </c>
      <c r="M9" s="4" t="n">
        <v>100</v>
      </c>
      <c r="N9" s="5" t="n"/>
      <c r="O9" s="4">
        <f>IF(OR(N9="",NOT(ISNUMBER(M9))),"",IF(N9&gt;=M9,"G",IF(N9&gt;=M9-10,"A","R")))</f>
        <v/>
      </c>
      <c r="P9" s="4" t="n">
        <v>100</v>
      </c>
      <c r="Q9" s="5" t="n"/>
      <c r="R9" s="4">
        <f>IF(OR(Q9="",NOT(ISNUMBER(P9))),"",IF(Q9&gt;=P9,"G",IF(Q9&gt;=P9-10,"A","R")))</f>
        <v/>
      </c>
      <c r="S9" s="4" t="n">
        <v>100</v>
      </c>
      <c r="T9" s="5" t="n"/>
      <c r="U9" s="4">
        <f>IF(OR(T9="",NOT(ISNUMBER(S9))),"",IF(T9&gt;=S9,"G",IF(T9&gt;=S9-10,"A","R")))</f>
        <v/>
      </c>
    </row>
    <row r="10">
      <c r="A10" s="4" t="inlineStr">
        <is>
          <t>L6</t>
        </is>
      </c>
      <c r="B10" s="4" t="inlineStr">
        <is>
          <t>HIPAA training completion</t>
        </is>
      </c>
      <c r="C10" s="4" t="inlineStr">
        <is>
          <t>Higher</t>
        </is>
      </c>
      <c r="D10" s="4" t="inlineStr">
        <is>
          <t>baseline</t>
        </is>
      </c>
      <c r="E10" s="5" t="n"/>
      <c r="F10" s="4">
        <f>IF(OR(E10="",NOT(ISNUMBER(D10))),"",IF(E10&gt;=D10,"G",IF(E10&gt;=D10-10,"A","R")))</f>
        <v/>
      </c>
      <c r="G10" s="4" t="n">
        <v>40</v>
      </c>
      <c r="H10" s="5" t="n"/>
      <c r="I10" s="4">
        <f>IF(OR(H10="",NOT(ISNUMBER(G10))),"",IF(H10&gt;=G10,"G",IF(H10&gt;=G10-10,"A","R")))</f>
        <v/>
      </c>
      <c r="J10" s="4" t="n">
        <v>70</v>
      </c>
      <c r="K10" s="5" t="n"/>
      <c r="L10" s="4">
        <f>IF(OR(K10="",NOT(ISNUMBER(J10))),"",IF(K10&gt;=J10,"G",IF(K10&gt;=J10-10,"A","R")))</f>
        <v/>
      </c>
      <c r="M10" s="4" t="n">
        <v>95</v>
      </c>
      <c r="N10" s="5" t="n"/>
      <c r="O10" s="4">
        <f>IF(OR(N10="",NOT(ISNUMBER(M10))),"",IF(N10&gt;=M10,"G",IF(N10&gt;=M10-10,"A","R")))</f>
        <v/>
      </c>
      <c r="P10" s="4" t="n">
        <v>95</v>
      </c>
      <c r="Q10" s="5" t="n"/>
      <c r="R10" s="4">
        <f>IF(OR(Q10="",NOT(ISNUMBER(P10))),"",IF(Q10&gt;=P10,"G",IF(Q10&gt;=P10-10,"A","R")))</f>
        <v/>
      </c>
      <c r="S10" s="4" t="n">
        <v>95</v>
      </c>
      <c r="T10" s="5" t="n"/>
      <c r="U10" s="4">
        <f>IF(OR(T10="",NOT(ISNUMBER(S10))),"",IF(T10&gt;=S10,"G",IF(T10&gt;=S10-10,"A","R")))</f>
        <v/>
      </c>
    </row>
    <row r="11">
      <c r="A11" s="4" t="inlineStr">
        <is>
          <t>G1</t>
        </is>
      </c>
      <c r="B11" s="4" t="inlineStr">
        <is>
          <t>High or Critical risks</t>
        </is>
      </c>
      <c r="C11" s="4" t="inlineStr">
        <is>
          <t>Lower</t>
        </is>
      </c>
      <c r="D11" s="4" t="inlineStr">
        <is>
          <t>baseline</t>
        </is>
      </c>
      <c r="E11" s="5" t="n">
        <v>5</v>
      </c>
      <c r="F11" s="4">
        <f>IF(OR(E11="",NOT(ISNUMBER(D11))),"",IF(E11&lt;=D11,"G",IF(E11&lt;=D11*1.25,"A","R")))</f>
        <v/>
      </c>
      <c r="G11" s="4" t="n">
        <v>4</v>
      </c>
      <c r="H11" s="5" t="n"/>
      <c r="I11" s="4">
        <f>IF(OR(H11="",NOT(ISNUMBER(G11))),"",IF(H11&lt;=G11,"G",IF(H11&lt;=G11*1.25,"A","R")))</f>
        <v/>
      </c>
      <c r="J11" s="4" t="n">
        <v>1</v>
      </c>
      <c r="K11" s="5" t="n"/>
      <c r="L11" s="4">
        <f>IF(OR(K11="",NOT(ISNUMBER(J11))),"",IF(K11&lt;=J11,"G",IF(K11&lt;=J11*1.25,"A","R")))</f>
        <v/>
      </c>
      <c r="M11" s="4" t="n">
        <v>0</v>
      </c>
      <c r="N11" s="5" t="n"/>
      <c r="O11" s="4">
        <f>IF(OR(N11="",NOT(ISNUMBER(M11))),"",IF(N11&lt;=M11,"G",IF(N11&lt;=M11*1.25,"A","R")))</f>
        <v/>
      </c>
      <c r="P11" s="4" t="n">
        <v>0</v>
      </c>
      <c r="Q11" s="5" t="n"/>
      <c r="R11" s="4">
        <f>IF(OR(Q11="",NOT(ISNUMBER(P11))),"",IF(Q11&lt;=P11,"G",IF(Q11&lt;=P11*1.25,"A","R")))</f>
        <v/>
      </c>
      <c r="S11" s="4" t="n">
        <v>0</v>
      </c>
      <c r="T11" s="5" t="n"/>
      <c r="U11" s="4">
        <f>IF(OR(T11="",NOT(ISNUMBER(S11))),"",IF(T11&lt;=S11,"G",IF(T11&lt;=S11*1.25,"A","R")))</f>
        <v/>
      </c>
    </row>
    <row r="12">
      <c r="A12" s="4" t="inlineStr">
        <is>
          <t>G2</t>
        </is>
      </c>
      <c r="B12" s="4" t="inlineStr">
        <is>
          <t>Expected annual loss (top 5)</t>
        </is>
      </c>
      <c r="C12" s="4" t="inlineStr">
        <is>
          <t>Lower</t>
        </is>
      </c>
      <c r="D12" s="4" t="inlineStr">
        <is>
          <t>baseline</t>
        </is>
      </c>
      <c r="E12" s="5" t="n">
        <v>2766</v>
      </c>
      <c r="F12" s="4">
        <f>IF(OR(E12="",NOT(ISNUMBER(D12))),"",IF(E12&lt;=D12,"G",IF(E12&lt;=D12*1.25,"A","R")))</f>
        <v/>
      </c>
      <c r="G12" s="4" t="n">
        <v>2000</v>
      </c>
      <c r="H12" s="5" t="n"/>
      <c r="I12" s="4">
        <f>IF(OR(H12="",NOT(ISNUMBER(G12))),"",IF(H12&lt;=G12,"G",IF(H12&lt;=G12*1.25,"A","R")))</f>
        <v/>
      </c>
      <c r="J12" s="4" t="n">
        <v>1100</v>
      </c>
      <c r="K12" s="5" t="n"/>
      <c r="L12" s="4">
        <f>IF(OR(K12="",NOT(ISNUMBER(J12))),"",IF(K12&lt;=J12,"G",IF(K12&lt;=J12*1.25,"A","R")))</f>
        <v/>
      </c>
      <c r="M12" s="4" t="n">
        <v>820</v>
      </c>
      <c r="N12" s="5" t="n"/>
      <c r="O12" s="4">
        <f>IF(OR(N12="",NOT(ISNUMBER(M12))),"",IF(N12&lt;=M12,"G",IF(N12&lt;=M12*1.25,"A","R")))</f>
        <v/>
      </c>
      <c r="P12" s="4" t="n">
        <v>820</v>
      </c>
      <c r="Q12" s="5" t="n"/>
      <c r="R12" s="4">
        <f>IF(OR(Q12="",NOT(ISNUMBER(P12))),"",IF(Q12&lt;=P12,"G",IF(Q12&lt;=P12*1.25,"A","R")))</f>
        <v/>
      </c>
      <c r="S12" s="4" t="n">
        <v>820</v>
      </c>
      <c r="T12" s="5" t="n"/>
      <c r="U12" s="4">
        <f>IF(OR(T12="",NOT(ISNUMBER(S12))),"",IF(T12&lt;=S12,"G",IF(T12&lt;=S12*1.25,"A","R")))</f>
        <v/>
      </c>
    </row>
    <row r="13">
      <c r="A13" s="4" t="inlineStr">
        <is>
          <t>G3</t>
        </is>
      </c>
      <c r="B13" s="4" t="inlineStr">
        <is>
          <t>Open HIPAA gaps</t>
        </is>
      </c>
      <c r="C13" s="4" t="inlineStr">
        <is>
          <t>Lower</t>
        </is>
      </c>
      <c r="D13" s="4" t="inlineStr">
        <is>
          <t>baseline</t>
        </is>
      </c>
      <c r="E13" s="5" t="n">
        <v>8</v>
      </c>
      <c r="F13" s="4">
        <f>IF(OR(E13="",NOT(ISNUMBER(D13))),"",IF(E13&lt;=D13,"G",IF(E13&lt;=D13*1.25,"A","R")))</f>
        <v/>
      </c>
      <c r="G13" s="4" t="n">
        <v>4</v>
      </c>
      <c r="H13" s="5" t="n"/>
      <c r="I13" s="4">
        <f>IF(OR(H13="",NOT(ISNUMBER(G13))),"",IF(H13&lt;=G13,"G",IF(H13&lt;=G13*1.25,"A","R")))</f>
        <v/>
      </c>
      <c r="J13" s="4" t="n">
        <v>1</v>
      </c>
      <c r="K13" s="5" t="n"/>
      <c r="L13" s="4">
        <f>IF(OR(K13="",NOT(ISNUMBER(J13))),"",IF(K13&lt;=J13,"G",IF(K13&lt;=J13*1.25,"A","R")))</f>
        <v/>
      </c>
      <c r="M13" s="4" t="n">
        <v>0</v>
      </c>
      <c r="N13" s="5" t="n"/>
      <c r="O13" s="4">
        <f>IF(OR(N13="",NOT(ISNUMBER(M13))),"",IF(N13&lt;=M13,"G",IF(N13&lt;=M13*1.25,"A","R")))</f>
        <v/>
      </c>
      <c r="P13" s="4" t="n">
        <v>0</v>
      </c>
      <c r="Q13" s="5" t="n"/>
      <c r="R13" s="4">
        <f>IF(OR(Q13="",NOT(ISNUMBER(P13))),"",IF(Q13&lt;=P13,"G",IF(Q13&lt;=P13*1.25,"A","R")))</f>
        <v/>
      </c>
      <c r="S13" s="4" t="n">
        <v>0</v>
      </c>
      <c r="T13" s="5" t="n"/>
      <c r="U13" s="4">
        <f>IF(OR(T13="",NOT(ISNUMBER(S13))),"",IF(T13&lt;=S13,"G",IF(T13&lt;=S13*1.25,"A","R")))</f>
        <v/>
      </c>
    </row>
    <row r="14">
      <c r="A14" s="4" t="inlineStr">
        <is>
          <t>G4</t>
        </is>
      </c>
      <c r="B14" s="4" t="inlineStr">
        <is>
          <t>Mean time to detect (hours)</t>
        </is>
      </c>
      <c r="C14" s="4" t="inlineStr">
        <is>
          <t>Lower</t>
        </is>
      </c>
      <c r="D14" s="4" t="inlineStr">
        <is>
          <t>baseline</t>
        </is>
      </c>
      <c r="E14" s="5" t="n"/>
      <c r="F14" s="4">
        <f>IF(OR(E14="",NOT(ISNUMBER(D14))),"",IF(E14&lt;=D14,"G",IF(E14&lt;=D14*1.25,"A","R")))</f>
        <v/>
      </c>
      <c r="G14" s="4" t="n"/>
      <c r="H14" s="5" t="n"/>
      <c r="I14" s="4">
        <f>IF(OR(H14="",NOT(ISNUMBER(G14))),"",IF(H14&lt;=G14,"G",IF(H14&lt;=G14*1.25,"A","R")))</f>
        <v/>
      </c>
      <c r="J14" s="4" t="n">
        <v>24</v>
      </c>
      <c r="K14" s="5" t="n"/>
      <c r="L14" s="4">
        <f>IF(OR(K14="",NOT(ISNUMBER(J14))),"",IF(K14&lt;=J14,"G",IF(K14&lt;=J14*1.25,"A","R")))</f>
        <v/>
      </c>
      <c r="M14" s="4" t="n">
        <v>8</v>
      </c>
      <c r="N14" s="5" t="n"/>
      <c r="O14" s="4">
        <f>IF(OR(N14="",NOT(ISNUMBER(M14))),"",IF(N14&lt;=M14,"G",IF(N14&lt;=M14*1.25,"A","R")))</f>
        <v/>
      </c>
      <c r="P14" s="4" t="n">
        <v>4</v>
      </c>
      <c r="Q14" s="5" t="n"/>
      <c r="R14" s="4">
        <f>IF(OR(Q14="",NOT(ISNUMBER(P14))),"",IF(Q14&lt;=P14,"G",IF(Q14&lt;=P14*1.25,"A","R")))</f>
        <v/>
      </c>
      <c r="S14" s="4" t="n">
        <v>4</v>
      </c>
      <c r="T14" s="5" t="n"/>
      <c r="U14" s="4">
        <f>IF(OR(T14="",NOT(ISNUMBER(S14))),"",IF(T14&lt;=S14,"G",IF(T14&lt;=S14*1.25,"A","R")))</f>
        <v/>
      </c>
    </row>
    <row r="15">
      <c r="A15" s="4" t="inlineStr">
        <is>
          <t>G5</t>
        </is>
      </c>
      <c r="B15" s="4" t="inlineStr">
        <is>
          <t>EHR restore time in drill (hours)</t>
        </is>
      </c>
      <c r="C15" s="4" t="inlineStr">
        <is>
          <t>Lower</t>
        </is>
      </c>
      <c r="D15" s="4" t="inlineStr">
        <is>
          <t>baseline</t>
        </is>
      </c>
      <c r="E15" s="5" t="n"/>
      <c r="F15" s="4">
        <f>IF(OR(E15="",NOT(ISNUMBER(D15))),"",IF(E15&lt;=D15,"G",IF(E15&lt;=D15*1.25,"A","R")))</f>
        <v/>
      </c>
      <c r="G15" s="4" t="n"/>
      <c r="H15" s="5" t="n"/>
      <c r="I15" s="4">
        <f>IF(OR(H15="",NOT(ISNUMBER(G15))),"",IF(H15&lt;=G15,"G",IF(H15&lt;=G15*1.25,"A","R")))</f>
        <v/>
      </c>
      <c r="J15" s="4" t="n">
        <v>6</v>
      </c>
      <c r="K15" s="5" t="n"/>
      <c r="L15" s="4">
        <f>IF(OR(K15="",NOT(ISNUMBER(J15))),"",IF(K15&lt;=J15,"G",IF(K15&lt;=J15*1.25,"A","R")))</f>
        <v/>
      </c>
      <c r="M15" s="4" t="n"/>
      <c r="N15" s="5" t="n"/>
      <c r="O15" s="4">
        <f>IF(OR(N15="",NOT(ISNUMBER(M15))),"",IF(N15&lt;=M15,"G",IF(N15&lt;=M15*1.25,"A","R")))</f>
        <v/>
      </c>
      <c r="P15" s="4" t="n"/>
      <c r="Q15" s="5" t="n"/>
      <c r="R15" s="4">
        <f>IF(OR(Q15="",NOT(ISNUMBER(P15))),"",IF(Q15&lt;=P15,"G",IF(Q15&lt;=P15*1.25,"A","R")))</f>
        <v/>
      </c>
      <c r="S15" s="4" t="n">
        <v>4</v>
      </c>
      <c r="T15" s="5" t="n"/>
      <c r="U15" s="4">
        <f>IF(OR(T15="",NOT(ISNUMBER(S15))),"",IF(T15&lt;=S15,"G",IF(T15&lt;=S15*1.25,"A","R")))</f>
        <v/>
      </c>
    </row>
    <row r="16">
      <c r="A16" s="4" t="inlineStr">
        <is>
          <t>G6</t>
        </is>
      </c>
      <c r="B16" s="4" t="inlineStr">
        <is>
          <t>ePHI security incidents</t>
        </is>
      </c>
      <c r="C16" s="4" t="inlineStr">
        <is>
          <t>Lower</t>
        </is>
      </c>
      <c r="D16" s="4" t="inlineStr">
        <is>
          <t>baseline</t>
        </is>
      </c>
      <c r="E16" s="5" t="n"/>
      <c r="F16" s="4">
        <f>IF(OR(E16="",NOT(ISNUMBER(D16))),"",IF(E16&lt;=D16,"G",IF(E16&lt;=D16*1.25,"A","R")))</f>
        <v/>
      </c>
      <c r="G16" s="4" t="n">
        <v>0</v>
      </c>
      <c r="H16" s="5" t="n"/>
      <c r="I16" s="4">
        <f>IF(OR(H16="",NOT(ISNUMBER(G16))),"",IF(H16&lt;=G16,"G",IF(H16&lt;=G16*1.25,"A","R")))</f>
        <v/>
      </c>
      <c r="J16" s="4" t="n">
        <v>0</v>
      </c>
      <c r="K16" s="5" t="n"/>
      <c r="L16" s="4">
        <f>IF(OR(K16="",NOT(ISNUMBER(J16))),"",IF(K16&lt;=J16,"G",IF(K16&lt;=J16*1.25,"A","R")))</f>
        <v/>
      </c>
      <c r="M16" s="4" t="n">
        <v>0</v>
      </c>
      <c r="N16" s="5" t="n"/>
      <c r="O16" s="4">
        <f>IF(OR(N16="",NOT(ISNUMBER(M16))),"",IF(N16&lt;=M16,"G",IF(N16&lt;=M16*1.25,"A","R")))</f>
        <v/>
      </c>
      <c r="P16" s="4" t="n">
        <v>0</v>
      </c>
      <c r="Q16" s="5" t="n"/>
      <c r="R16" s="4">
        <f>IF(OR(Q16="",NOT(ISNUMBER(P16))),"",IF(Q16&lt;=P16,"G",IF(Q16&lt;=P16*1.25,"A","R")))</f>
        <v/>
      </c>
      <c r="S16" s="4" t="n">
        <v>0</v>
      </c>
      <c r="T16" s="5" t="n"/>
      <c r="U16" s="4">
        <f>IF(OR(T16="",NOT(ISNUMBER(S16))),"",IF(T16&lt;=S16,"G",IF(T16&lt;=S16*1.25,"A","R")))</f>
        <v/>
      </c>
    </row>
  </sheetData>
  <conditionalFormatting sqref="D5:U16">
    <cfRule type="expression" priority="1" dxfId="0">
      <formula>D5="G"</formula>
    </cfRule>
    <cfRule type="expression" priority="2" dxfId="1">
      <formula>D5="A"</formula>
    </cfRule>
    <cfRule type="expression" priority="3" dxfId="2">
      <formula>D5="R"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K19"/>
  <sheetViews>
    <sheetView zoomScale="110"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34" customWidth="1" min="3" max="3"/>
    <col width="16" customWidth="1" min="4" max="4"/>
    <col width="20" customWidth="1" min="5" max="5"/>
    <col width="9" customWidth="1" min="6" max="6"/>
    <col width="7" customWidth="1" min="7" max="7"/>
    <col width="8" customWidth="1" min="8" max="8"/>
    <col width="34" customWidth="1" min="9" max="9"/>
    <col width="14" customWidth="1" min="10" max="10"/>
    <col width="10" customWidth="1" min="11" max="11"/>
  </cols>
  <sheetData>
    <row r="1">
      <c r="A1" s="1" t="inlineStr">
        <is>
          <t>Automated KRI results (kri_monitor.py)</t>
        </is>
      </c>
    </row>
    <row r="2">
      <c r="A2" s="2" t="inlineStr">
        <is>
          <t>Append one block per run; Red = alert raised. First run below is live data from Azure.</t>
        </is>
      </c>
    </row>
    <row r="4" ht="30" customHeight="1">
      <c r="A4" s="3" t="inlineStr">
        <is>
          <t>Run (UTC)</t>
        </is>
      </c>
      <c r="B4" s="3" t="inlineStr">
        <is>
          <t>KRI</t>
        </is>
      </c>
      <c r="C4" s="3" t="inlineStr">
        <is>
          <t>Indicator</t>
        </is>
      </c>
      <c r="D4" s="3" t="inlineStr">
        <is>
          <t>Value</t>
        </is>
      </c>
      <c r="E4" s="3" t="inlineStr">
        <is>
          <t>Target</t>
        </is>
      </c>
      <c r="F4" s="3" t="inlineStr">
        <is>
          <t>Status</t>
        </is>
      </c>
      <c r="G4" s="3" t="inlineStr">
        <is>
          <t>Risk</t>
        </is>
      </c>
      <c r="H4" s="3" t="inlineStr">
        <is>
          <t>Control</t>
        </is>
      </c>
      <c r="I4" s="3" t="inlineStr">
        <is>
          <t>Source</t>
        </is>
      </c>
      <c r="J4" s="3" t="inlineStr">
        <is>
          <t>Triage ticket</t>
        </is>
      </c>
      <c r="K4" s="3" t="inlineStr">
        <is>
          <t>Closed</t>
        </is>
      </c>
    </row>
    <row r="5">
      <c r="A5" s="4" t="inlineStr">
        <is>
          <t>2026-10-14T18:34:16Z</t>
        </is>
      </c>
      <c r="B5" s="4" t="inlineStr">
        <is>
          <t>K01</t>
        </is>
      </c>
      <c r="C5" s="4" t="inlineStr">
        <is>
          <t>EHR storage public network access</t>
        </is>
      </c>
      <c r="D5" s="4" t="inlineStr">
        <is>
          <t>Enabled</t>
        </is>
      </c>
      <c r="E5" s="4" t="inlineStr">
        <is>
          <t>Disabled</t>
        </is>
      </c>
      <c r="F5" s="4" t="inlineStr">
        <is>
          <t>Red</t>
        </is>
      </c>
      <c r="G5" s="4" t="inlineStr">
        <is>
          <t>R02</t>
        </is>
      </c>
      <c r="H5" s="4" t="inlineStr">
        <is>
          <t>C02</t>
        </is>
      </c>
      <c r="I5" s="4" t="inlineStr">
        <is>
          <t>az storage account show</t>
        </is>
      </c>
      <c r="J5" s="5" t="inlineStr"/>
      <c r="K5" s="5" t="inlineStr"/>
    </row>
    <row r="6">
      <c r="A6" s="4" t="inlineStr">
        <is>
          <t>2026-10-14T18:34:16Z</t>
        </is>
      </c>
      <c r="B6" s="4" t="inlineStr">
        <is>
          <t>K02</t>
        </is>
      </c>
      <c r="C6" s="4" t="inlineStr">
        <is>
          <t>EHR storage shared-key access</t>
        </is>
      </c>
      <c r="D6" s="4" t="inlineStr">
        <is>
          <t>True</t>
        </is>
      </c>
      <c r="E6" s="4" t="inlineStr">
        <is>
          <t>false</t>
        </is>
      </c>
      <c r="F6" s="4" t="inlineStr">
        <is>
          <t>Amber</t>
        </is>
      </c>
      <c r="G6" s="4" t="inlineStr">
        <is>
          <t>R02</t>
        </is>
      </c>
      <c r="H6" s="4" t="inlineStr">
        <is>
          <t>C02</t>
        </is>
      </c>
      <c r="I6" s="4" t="inlineStr">
        <is>
          <t>az storage account show</t>
        </is>
      </c>
      <c r="J6" s="5" t="inlineStr"/>
      <c r="K6" s="5" t="inlineStr"/>
    </row>
    <row r="7">
      <c r="A7" s="4" t="inlineStr">
        <is>
          <t>2026-10-14T18:34:16Z</t>
        </is>
      </c>
      <c r="B7" s="4" t="inlineStr">
        <is>
          <t>K03</t>
        </is>
      </c>
      <c r="C7" s="4" t="inlineStr">
        <is>
          <t>EHR blob versioning</t>
        </is>
      </c>
      <c r="D7" s="4" t="inlineStr">
        <is>
          <t>Disabled</t>
        </is>
      </c>
      <c r="E7" s="4" t="inlineStr">
        <is>
          <t>Enabled</t>
        </is>
      </c>
      <c r="F7" s="4" t="inlineStr">
        <is>
          <t>Red</t>
        </is>
      </c>
      <c r="G7" s="4" t="inlineStr">
        <is>
          <t>R05</t>
        </is>
      </c>
      <c r="H7" s="4" t="inlineStr">
        <is>
          <t>C05</t>
        </is>
      </c>
      <c r="I7" s="4" t="inlineStr">
        <is>
          <t>blob-service-properties</t>
        </is>
      </c>
      <c r="J7" s="5" t="inlineStr"/>
      <c r="K7" s="5" t="inlineStr"/>
    </row>
    <row r="8">
      <c r="A8" s="4" t="inlineStr">
        <is>
          <t>2026-10-14T18:34:16Z</t>
        </is>
      </c>
      <c r="B8" s="4" t="inlineStr">
        <is>
          <t>K04</t>
        </is>
      </c>
      <c r="C8" s="4" t="inlineStr">
        <is>
          <t>Blob soft-delete retention (days)</t>
        </is>
      </c>
      <c r="D8" s="4" t="inlineStr">
        <is>
          <t>7</t>
        </is>
      </c>
      <c r="E8" s="4" t="inlineStr">
        <is>
          <t>≥ 30</t>
        </is>
      </c>
      <c r="F8" s="4" t="inlineStr">
        <is>
          <t>Amber</t>
        </is>
      </c>
      <c r="G8" s="4" t="inlineStr">
        <is>
          <t>R05</t>
        </is>
      </c>
      <c r="H8" s="4" t="inlineStr">
        <is>
          <t>C05</t>
        </is>
      </c>
      <c r="I8" s="4" t="inlineStr">
        <is>
          <t>blob-service-properties</t>
        </is>
      </c>
      <c r="J8" s="5" t="inlineStr"/>
      <c r="K8" s="5" t="inlineStr"/>
    </row>
    <row r="9">
      <c r="A9" s="4" t="inlineStr">
        <is>
          <t>2026-10-14T18:34:16Z</t>
        </is>
      </c>
      <c r="B9" s="4" t="inlineStr">
        <is>
          <t>K05</t>
        </is>
      </c>
      <c r="C9" s="4" t="inlineStr">
        <is>
          <t>Data-tier explicit deny rule</t>
        </is>
      </c>
      <c r="D9" s="4" t="inlineStr">
        <is>
          <t>Missing</t>
        </is>
      </c>
      <c r="E9" s="4" t="inlineStr">
        <is>
          <t>Present</t>
        </is>
      </c>
      <c r="F9" s="4" t="inlineStr">
        <is>
          <t>Red</t>
        </is>
      </c>
      <c r="G9" s="4" t="inlineStr">
        <is>
          <t>R03</t>
        </is>
      </c>
      <c r="H9" s="4" t="inlineStr">
        <is>
          <t>C03</t>
        </is>
      </c>
      <c r="I9" s="4" t="inlineStr">
        <is>
          <t>az network nsg rule list</t>
        </is>
      </c>
      <c r="J9" s="5" t="inlineStr"/>
      <c r="K9" s="5" t="inlineStr"/>
    </row>
    <row r="10">
      <c r="A10" s="4" t="inlineStr">
        <is>
          <t>2026-10-14T18:34:16Z</t>
        </is>
      </c>
      <c r="B10" s="4" t="inlineStr">
        <is>
          <t>K06</t>
        </is>
      </c>
      <c r="C10" s="4" t="inlineStr">
        <is>
          <t>Global Administrators</t>
        </is>
      </c>
      <c r="D10" s="4" t="inlineStr">
        <is>
          <t>1</t>
        </is>
      </c>
      <c r="E10" s="4" t="inlineStr">
        <is>
          <t>2–4 incl. break-glass</t>
        </is>
      </c>
      <c r="F10" s="4" t="inlineStr">
        <is>
          <t>Red</t>
        </is>
      </c>
      <c r="G10" s="4" t="inlineStr">
        <is>
          <t>R04</t>
        </is>
      </c>
      <c r="H10" s="4" t="inlineStr">
        <is>
          <t>C04</t>
        </is>
      </c>
      <c r="I10" s="4" t="inlineStr">
        <is>
          <t>Graph directoryRoles</t>
        </is>
      </c>
      <c r="J10" s="5" t="inlineStr"/>
      <c r="K10" s="5" t="inlineStr"/>
    </row>
    <row r="11">
      <c r="A11" s="4" t="inlineStr">
        <is>
          <t>2026-10-14T18:34:16Z</t>
        </is>
      </c>
      <c r="B11" s="4" t="inlineStr">
        <is>
          <t>K07</t>
        </is>
      </c>
      <c r="C11" s="4" t="inlineStr">
        <is>
          <t>Activity log exported to Log Analytics</t>
        </is>
      </c>
      <c r="D11" s="4" t="inlineStr">
        <is>
          <t>0</t>
        </is>
      </c>
      <c r="E11" s="4" t="inlineStr">
        <is>
          <t>≥ 1</t>
        </is>
      </c>
      <c r="F11" s="4" t="inlineStr">
        <is>
          <t>Red</t>
        </is>
      </c>
      <c r="G11" s="4" t="inlineStr">
        <is>
          <t>R01</t>
        </is>
      </c>
      <c r="H11" s="4" t="inlineStr">
        <is>
          <t>C01</t>
        </is>
      </c>
      <c r="I11" s="4" t="inlineStr">
        <is>
          <t>az monitor diagnostic-settings subscription list</t>
        </is>
      </c>
      <c r="J11" s="5" t="inlineStr"/>
      <c r="K11" s="5" t="inlineStr"/>
    </row>
    <row r="12">
      <c r="A12" s="4" t="inlineStr">
        <is>
          <t>2026-10-14T18:34:16Z</t>
        </is>
      </c>
      <c r="B12" s="4" t="inlineStr">
        <is>
          <t>K08</t>
        </is>
      </c>
      <c r="C12" s="4" t="inlineStr">
        <is>
          <t>Activity-log alert rules</t>
        </is>
      </c>
      <c r="D12" s="4" t="inlineStr">
        <is>
          <t>0</t>
        </is>
      </c>
      <c r="E12" s="4" t="inlineStr">
        <is>
          <t>≥ 3</t>
        </is>
      </c>
      <c r="F12" s="4" t="inlineStr">
        <is>
          <t>Red</t>
        </is>
      </c>
      <c r="G12" s="4" t="inlineStr">
        <is>
          <t>R01</t>
        </is>
      </c>
      <c r="H12" s="4" t="inlineStr">
        <is>
          <t>C01</t>
        </is>
      </c>
      <c r="I12" s="4" t="inlineStr">
        <is>
          <t>az monitor activity-log alert list</t>
        </is>
      </c>
      <c r="J12" s="5" t="inlineStr"/>
      <c r="K12" s="5" t="inlineStr"/>
    </row>
    <row r="13">
      <c r="A13" s="4" t="inlineStr">
        <is>
          <t>2026-10-14T18:34:16Z</t>
        </is>
      </c>
      <c r="B13" s="4" t="inlineStr">
        <is>
          <t>K09</t>
        </is>
      </c>
      <c r="C13" s="4" t="inlineStr">
        <is>
          <t>Network flow logs</t>
        </is>
      </c>
      <c r="D13" s="4" t="inlineStr">
        <is>
          <t>0</t>
        </is>
      </c>
      <c r="E13" s="4" t="inlineStr">
        <is>
          <t>≥ 1</t>
        </is>
      </c>
      <c r="F13" s="4" t="inlineStr">
        <is>
          <t>Amber</t>
        </is>
      </c>
      <c r="G13" s="4" t="inlineStr">
        <is>
          <t>R01</t>
        </is>
      </c>
      <c r="H13" s="4" t="inlineStr">
        <is>
          <t>C01</t>
        </is>
      </c>
      <c r="I13" s="4" t="inlineStr">
        <is>
          <t>az network watcher flow-log list</t>
        </is>
      </c>
      <c r="J13" s="5" t="inlineStr"/>
      <c r="K13" s="5" t="inlineStr"/>
    </row>
    <row r="14">
      <c r="A14" s="4" t="inlineStr">
        <is>
          <t>2026-10-14T18:34:16Z</t>
        </is>
      </c>
      <c r="B14" s="4" t="inlineStr">
        <is>
          <t>K10</t>
        </is>
      </c>
      <c r="C14" s="4" t="inlineStr">
        <is>
          <t>Defender for Storage</t>
        </is>
      </c>
      <c r="D14" s="4" t="inlineStr">
        <is>
          <t>Free</t>
        </is>
      </c>
      <c r="E14" s="4" t="inlineStr">
        <is>
          <t>Standard</t>
        </is>
      </c>
      <c r="F14" s="4" t="inlineStr">
        <is>
          <t>Amber</t>
        </is>
      </c>
      <c r="G14" s="4" t="inlineStr">
        <is>
          <t>R11</t>
        </is>
      </c>
      <c r="H14" s="4" t="inlineStr">
        <is>
          <t>C06</t>
        </is>
      </c>
      <c r="I14" s="4" t="inlineStr">
        <is>
          <t>az security pricing show</t>
        </is>
      </c>
      <c r="J14" s="5" t="inlineStr"/>
      <c r="K14" s="5" t="inlineStr"/>
    </row>
    <row r="15">
      <c r="A15" s="4" t="inlineStr">
        <is>
          <t>2026-10-14T18:34:16Z</t>
        </is>
      </c>
      <c r="B15" s="4" t="inlineStr">
        <is>
          <t>K11</t>
        </is>
      </c>
      <c r="C15" s="4" t="inlineStr">
        <is>
          <t>Security alert contacts</t>
        </is>
      </c>
      <c r="D15" s="4" t="inlineStr">
        <is>
          <t>0</t>
        </is>
      </c>
      <c r="E15" s="4" t="inlineStr">
        <is>
          <t>≥ 1</t>
        </is>
      </c>
      <c r="F15" s="4" t="inlineStr">
        <is>
          <t>Amber</t>
        </is>
      </c>
      <c r="G15" s="4" t="inlineStr">
        <is>
          <t>R11</t>
        </is>
      </c>
      <c r="H15" s="4" t="inlineStr">
        <is>
          <t>C06</t>
        </is>
      </c>
      <c r="I15" s="4" t="inlineStr">
        <is>
          <t>az security contact list</t>
        </is>
      </c>
      <c r="J15" s="5" t="inlineStr"/>
      <c r="K15" s="5" t="inlineStr"/>
    </row>
    <row r="16">
      <c r="A16" s="4" t="inlineStr">
        <is>
          <t>2026-10-14T18:34:16Z</t>
        </is>
      </c>
      <c r="B16" s="4" t="inlineStr">
        <is>
          <t>K12</t>
        </is>
      </c>
      <c r="C16" s="4" t="inlineStr">
        <is>
          <t>Users can register applications</t>
        </is>
      </c>
      <c r="D16" s="4" t="inlineStr">
        <is>
          <t>True</t>
        </is>
      </c>
      <c r="E16" s="4" t="inlineStr">
        <is>
          <t>false</t>
        </is>
      </c>
      <c r="F16" s="4" t="inlineStr">
        <is>
          <t>Amber</t>
        </is>
      </c>
      <c r="G16" s="4" t="inlineStr">
        <is>
          <t>R08</t>
        </is>
      </c>
      <c r="H16" s="4" t="inlineStr">
        <is>
          <t>C08</t>
        </is>
      </c>
      <c r="I16" s="4" t="inlineStr">
        <is>
          <t>Graph authorizationPolicy</t>
        </is>
      </c>
      <c r="J16" s="5" t="inlineStr"/>
      <c r="K16" s="5" t="inlineStr"/>
    </row>
    <row r="17">
      <c r="A17" s="4" t="inlineStr">
        <is>
          <t>2026-10-14T18:34:16Z</t>
        </is>
      </c>
      <c r="B17" s="4" t="inlineStr">
        <is>
          <t>K13</t>
        </is>
      </c>
      <c r="C17" s="4" t="inlineStr">
        <is>
          <t>Guest invitations allowed from</t>
        </is>
      </c>
      <c r="D17" s="4" t="inlineStr">
        <is>
          <t>everyone</t>
        </is>
      </c>
      <c r="E17" s="4" t="inlineStr">
        <is>
          <t>adminsAndGuestInviters</t>
        </is>
      </c>
      <c r="F17" s="4" t="inlineStr">
        <is>
          <t>Amber</t>
        </is>
      </c>
      <c r="G17" s="4" t="inlineStr">
        <is>
          <t>R08</t>
        </is>
      </c>
      <c r="H17" s="4" t="inlineStr">
        <is>
          <t>C08</t>
        </is>
      </c>
      <c r="I17" s="4" t="inlineStr">
        <is>
          <t>Graph authorizationPolicy</t>
        </is>
      </c>
      <c r="J17" s="5" t="inlineStr"/>
      <c r="K17" s="5" t="inlineStr"/>
    </row>
    <row r="18">
      <c r="A18" s="4" t="inlineStr">
        <is>
          <t>2026-10-14T18:34:16Z</t>
        </is>
      </c>
      <c r="B18" s="4" t="inlineStr">
        <is>
          <t>K14</t>
        </is>
      </c>
      <c r="C18" s="4" t="inlineStr">
        <is>
          <t>Test/shared accounts in production</t>
        </is>
      </c>
      <c r="D18" s="4" t="inlineStr">
        <is>
          <t>1</t>
        </is>
      </c>
      <c r="E18" s="4" t="inlineStr">
        <is>
          <t>0</t>
        </is>
      </c>
      <c r="F18" s="4" t="inlineStr">
        <is>
          <t>Amber</t>
        </is>
      </c>
      <c r="G18" s="4" t="inlineStr">
        <is>
          <t>R07</t>
        </is>
      </c>
      <c r="H18" s="4" t="inlineStr">
        <is>
          <t>C14</t>
        </is>
      </c>
      <c r="I18" s="4" t="inlineStr">
        <is>
          <t>az ad user list</t>
        </is>
      </c>
      <c r="J18" s="5" t="inlineStr"/>
      <c r="K18" s="5" t="inlineStr"/>
    </row>
    <row r="19">
      <c r="A19" s="4" t="inlineStr">
        <is>
          <t>2026-10-14T18:34:16Z</t>
        </is>
      </c>
      <c r="B19" s="4" t="inlineStr">
        <is>
          <t>K15</t>
        </is>
      </c>
      <c r="C19" s="4" t="inlineStr">
        <is>
          <t>Resource locks on production RG</t>
        </is>
      </c>
      <c r="D19" s="4" t="inlineStr">
        <is>
          <t>0</t>
        </is>
      </c>
      <c r="E19" s="4" t="inlineStr">
        <is>
          <t>≥ 1 (accepted risk)</t>
        </is>
      </c>
      <c r="F19" s="4" t="inlineStr">
        <is>
          <t>Amber</t>
        </is>
      </c>
      <c r="G19" s="4" t="inlineStr">
        <is>
          <t>R15</t>
        </is>
      </c>
      <c r="H19" s="4" t="inlineStr">
        <is>
          <t>A01</t>
        </is>
      </c>
      <c r="I19" s="4" t="inlineStr">
        <is>
          <t>az lock list</t>
        </is>
      </c>
      <c r="J19" s="5" t="inlineStr"/>
      <c r="K19" s="5" t="inlineStr"/>
    </row>
  </sheetData>
  <conditionalFormatting sqref="F5:F19">
    <cfRule type="expression" priority="1" dxfId="2">
      <formula>F5="Red"</formula>
    </cfRule>
    <cfRule type="expression" priority="2" dxfId="1">
      <formula>F5="Amber"</formula>
    </cfRule>
    <cfRule type="expression" priority="3" dxfId="0">
      <formula>F5="Green"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10"/>
  <sheetViews>
    <sheetView zoomScale="11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44" customWidth="1" min="4" max="4"/>
    <col width="44" customWidth="1" min="5" max="5"/>
    <col width="22" customWidth="1" min="6" max="6"/>
  </cols>
  <sheetData>
    <row r="1">
      <c r="A1" s="1" t="inlineStr">
        <is>
          <t>Documented review process</t>
        </is>
      </c>
    </row>
    <row r="2">
      <c r="A2" s="2" t="inlineStr">
        <is>
          <t>Who reviews what, when, with which inputs and outputs</t>
        </is>
      </c>
    </row>
    <row r="4" ht="30" customHeight="1">
      <c r="A4" s="3" t="inlineStr">
        <is>
          <t>Cadence</t>
        </is>
      </c>
      <c r="B4" s="3" t="inlineStr">
        <is>
          <t>Forum</t>
        </is>
      </c>
      <c r="C4" s="3" t="inlineStr">
        <is>
          <t>Chair</t>
        </is>
      </c>
      <c r="D4" s="3" t="inlineStr">
        <is>
          <t>Inputs</t>
        </is>
      </c>
      <c r="E4" s="3" t="inlineStr">
        <is>
          <t>Outputs / decisions</t>
        </is>
      </c>
      <c r="F4" s="3" t="inlineStr">
        <is>
          <t>Record</t>
        </is>
      </c>
    </row>
    <row r="5">
      <c r="A5" s="4" t="inlineStr">
        <is>
          <t>Daily</t>
        </is>
      </c>
      <c r="B5" s="4" t="inlineStr">
        <is>
          <t>Automated KRI run</t>
        </is>
      </c>
      <c r="C5" s="4" t="inlineStr">
        <is>
          <t>Anthony Ruiz</t>
        </is>
      </c>
      <c r="D5" s="4" t="inlineStr">
        <is>
          <t>kri_monitor.py results</t>
        </is>
      </c>
      <c r="E5" s="4" t="inlineStr">
        <is>
          <t>Red → ticket + notify owner within 1 business day</t>
        </is>
      </c>
      <c r="F5" s="4" t="inlineStr">
        <is>
          <t>KRI Log</t>
        </is>
      </c>
    </row>
    <row r="6">
      <c r="A6" s="4" t="inlineStr">
        <is>
          <t>Weekly</t>
        </is>
      </c>
      <c r="B6" s="4" t="inlineStr">
        <is>
          <t>IT status stand-up</t>
        </is>
      </c>
      <c r="C6" s="4" t="inlineStr">
        <is>
          <t>Kevin O'Brien</t>
        </is>
      </c>
      <c r="D6" s="4" t="inlineStr">
        <is>
          <t>Open tickets, plan tasks</t>
        </is>
      </c>
      <c r="E6" s="4" t="inlineStr">
        <is>
          <t>Task re-plans, blockers escalated</t>
        </is>
      </c>
      <c r="F6" s="4" t="inlineStr">
        <is>
          <t>Task board</t>
        </is>
      </c>
    </row>
    <row r="7">
      <c r="A7" s="4" t="inlineStr">
        <is>
          <t>Monthly</t>
        </is>
      </c>
      <c r="B7" s="4" t="inlineStr">
        <is>
          <t>KPI review (Executive Risk Committee)</t>
        </is>
      </c>
      <c r="C7" s="4" t="inlineStr">
        <is>
          <t>Denise Coleman</t>
        </is>
      </c>
      <c r="D7" s="4" t="inlineStr">
        <is>
          <t>Monthly Tracking sheet, dashboard, checklist re-run</t>
        </is>
      </c>
      <c r="E7" s="4" t="inlineStr">
        <is>
          <t>Amber/Red actions, budget changes, risk acceptances</t>
        </is>
      </c>
      <c r="F7" s="4" t="inlineStr">
        <is>
          <t>Decision log</t>
        </is>
      </c>
    </row>
    <row r="8">
      <c r="A8" s="4" t="inlineStr">
        <is>
          <t>Quarterly</t>
        </is>
      </c>
      <c r="B8" s="4" t="inlineStr">
        <is>
          <t>Board risk update</t>
        </is>
      </c>
      <c r="C8" s="4" t="inlineStr">
        <is>
          <t>Board chair</t>
        </is>
      </c>
      <c r="D8" s="4" t="inlineStr">
        <is>
          <t>Board pack, 6 board KPIs, control tests</t>
        </is>
      </c>
      <c r="E8" s="4" t="inlineStr">
        <is>
          <t>Direction, appetite changes, approvals</t>
        </is>
      </c>
      <c r="F8" s="4" t="inlineStr">
        <is>
          <t>Board minutes</t>
        </is>
      </c>
    </row>
    <row r="9">
      <c r="A9" s="4" t="inlineStr">
        <is>
          <t>Quarterly</t>
        </is>
      </c>
      <c r="B9" s="4" t="inlineStr">
        <is>
          <t>Control effectiveness tests</t>
        </is>
      </c>
      <c r="C9" s="4" t="inlineStr">
        <is>
          <t>Control owners</t>
        </is>
      </c>
      <c r="D9" s="4" t="inlineStr">
        <is>
          <t>Restore drill, break-glass test, port test, access reviews</t>
        </is>
      </c>
      <c r="E9" s="4" t="inlineStr">
        <is>
          <t>Residual re-score in register History</t>
        </is>
      </c>
      <c r="F9" s="4" t="inlineStr">
        <is>
          <t>Risk register</t>
        </is>
      </c>
    </row>
    <row r="10">
      <c r="A10" s="4" t="inlineStr">
        <is>
          <t>Annually</t>
        </is>
      </c>
      <c r="B10" s="4" t="inlineStr">
        <is>
          <t>Framework review</t>
        </is>
      </c>
      <c r="C10" s="4" t="inlineStr">
        <is>
          <t>Executive Risk Committee</t>
        </is>
      </c>
      <c r="D10" s="4" t="inlineStr">
        <is>
          <t>Year of KPI trends, incidents, regulation</t>
        </is>
      </c>
      <c r="E10" s="4" t="inlineStr">
        <is>
          <t>Revised KPIs, thresholds, weights, appetite</t>
        </is>
      </c>
      <c r="F10" s="4" t="inlineStr">
        <is>
          <t>Version history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L14"/>
  <sheetViews>
    <sheetView zoomScale="11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8" customWidth="1" min="4" max="4"/>
    <col width="9" customWidth="1" min="5" max="5"/>
    <col width="9" customWidth="1" min="6" max="6"/>
    <col width="34" customWidth="1" min="7" max="7"/>
    <col width="44" customWidth="1" min="8" max="8"/>
    <col width="2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Stakeholder communication plan</t>
        </is>
      </c>
    </row>
    <row r="2">
      <c r="A2" s="2" t="inlineStr">
        <is>
          <t>Audience analysis, tailored message, channel, frequency and owner</t>
        </is>
      </c>
    </row>
    <row r="4" ht="30" customHeight="1">
      <c r="A4" s="3" t="inlineStr">
        <is>
          <t>Audience</t>
        </is>
      </c>
      <c r="B4" s="3" t="inlineStr">
        <is>
          <t>Group</t>
        </is>
      </c>
      <c r="C4" s="3" t="inlineStr">
        <is>
          <t>Members</t>
        </is>
      </c>
      <c r="D4" s="3" t="inlineStr">
        <is>
          <t>Interest</t>
        </is>
      </c>
      <c r="E4" s="3" t="inlineStr">
        <is>
          <t>Influence</t>
        </is>
      </c>
      <c r="F4" s="3" t="inlineStr">
        <is>
          <t>Technical level</t>
        </is>
      </c>
      <c r="G4" s="3" t="inlineStr">
        <is>
          <t>Information needs</t>
        </is>
      </c>
      <c r="H4" s="3" t="inlineStr">
        <is>
          <t>Key message</t>
        </is>
      </c>
      <c r="I4" s="3" t="inlineStr">
        <is>
          <t>Format / channel</t>
        </is>
      </c>
      <c r="J4" s="3" t="inlineStr">
        <is>
          <t>Frequency</t>
        </is>
      </c>
      <c r="K4" s="3" t="inlineStr">
        <is>
          <t>Owner</t>
        </is>
      </c>
      <c r="L4" s="3" t="inlineStr">
        <is>
          <t>Feedback</t>
        </is>
      </c>
    </row>
    <row r="5" ht="60" customHeight="1">
      <c r="A5" s="4" t="inlineStr">
        <is>
          <t>Board of Directors</t>
        </is>
      </c>
      <c r="B5" s="4" t="inlineStr">
        <is>
          <t>Governance</t>
        </is>
      </c>
      <c r="C5" s="4" t="inlineStr">
        <is>
          <t>Board (external to tenant)</t>
        </is>
      </c>
      <c r="D5" s="4" t="inlineStr">
        <is>
          <t>High</t>
        </is>
      </c>
      <c r="E5" s="4" t="inlineStr">
        <is>
          <t>High</t>
        </is>
      </c>
      <c r="F5" s="4" t="inlineStr">
        <is>
          <t>Low</t>
        </is>
      </c>
      <c r="G5" s="4" t="inlineStr">
        <is>
          <t>Overall posture, financial exposure, decisions required, regulatory standing</t>
        </is>
      </c>
      <c r="H5" s="4" t="inlineStr">
        <is>
          <t>HVMC's biggest cyber risks are known and fixable for under $53K this year; we ask you to approve the plan and insurance.</t>
        </is>
      </c>
      <c r="I5" s="4" t="inlineStr">
        <is>
          <t>Quarterly board pack (slides) + dashboard summary</t>
        </is>
      </c>
      <c r="J5" s="4" t="inlineStr">
        <is>
          <t>Quarterly; ad hoc for Critical</t>
        </is>
      </c>
      <c r="K5" s="4" t="inlineStr">
        <is>
          <t>Denise Coleman</t>
        </is>
      </c>
      <c r="L5" s="4" t="inlineStr">
        <is>
          <t>Board Q&amp;A; minutes</t>
        </is>
      </c>
    </row>
    <row r="6" ht="60" customHeight="1">
      <c r="A6" s="4" t="inlineStr">
        <is>
          <t>Executive Risk Committee</t>
        </is>
      </c>
      <c r="B6" s="4" t="inlineStr">
        <is>
          <t>Executive</t>
        </is>
      </c>
      <c r="C6" s="4" t="inlineStr">
        <is>
          <t>CEO, CFO, CMO + Denise Coleman</t>
        </is>
      </c>
      <c r="D6" s="4" t="inlineStr">
        <is>
          <t>High</t>
        </is>
      </c>
      <c r="E6" s="4" t="inlineStr">
        <is>
          <t>High</t>
        </is>
      </c>
      <c r="F6" s="4" t="inlineStr">
        <is>
          <t>Medium</t>
        </is>
      </c>
      <c r="G6" s="4" t="inlineStr">
        <is>
          <t>Trend vs plan, budget, residual risks to accept, escalations</t>
        </is>
      </c>
      <c r="H6" s="4" t="inlineStr">
        <is>
          <t>Plan is on track / off track; these residual risks need your acceptance.</t>
        </is>
      </c>
      <c r="I6" s="4" t="inlineStr">
        <is>
          <t>Monthly meeting with dashboard walk-through</t>
        </is>
      </c>
      <c r="J6" s="4" t="inlineStr">
        <is>
          <t>Monthly</t>
        </is>
      </c>
      <c r="K6" s="4" t="inlineStr">
        <is>
          <t>Denise Coleman</t>
        </is>
      </c>
      <c r="L6" s="4" t="inlineStr">
        <is>
          <t>Decision log</t>
        </is>
      </c>
    </row>
    <row r="7" ht="60" customHeight="1">
      <c r="A7" s="4" t="inlineStr">
        <is>
          <t>Security &amp; Risk team</t>
        </is>
      </c>
      <c r="B7" s="4" t="inlineStr">
        <is>
          <t>Risk owners</t>
        </is>
      </c>
      <c r="C7" s="4" t="inlineStr">
        <is>
          <t>Denise Coleman, Anthony Ruiz</t>
        </is>
      </c>
      <c r="D7" s="4" t="inlineStr">
        <is>
          <t>High</t>
        </is>
      </c>
      <c r="E7" s="4" t="inlineStr">
        <is>
          <t>High</t>
        </is>
      </c>
      <c r="F7" s="4" t="inlineStr">
        <is>
          <t>High</t>
        </is>
      </c>
      <c r="G7" s="4" t="inlineStr">
        <is>
          <t>Live KRIs, alerts, control test results</t>
        </is>
      </c>
      <c r="H7" s="4" t="inlineStr">
        <is>
          <t>Every Red KRI is an alert to triage within 1 business day.</t>
        </is>
      </c>
      <c r="I7" s="4" t="inlineStr">
        <is>
          <t>Live dashboard + automated alerts (email/Teams)</t>
        </is>
      </c>
      <c r="J7" s="4" t="inlineStr">
        <is>
          <t>Continuous; weekly stand-up</t>
        </is>
      </c>
      <c r="K7" s="4" t="inlineStr">
        <is>
          <t>Anthony Ruiz</t>
        </is>
      </c>
      <c r="L7" s="4" t="inlineStr">
        <is>
          <t>Alert ticket closure</t>
        </is>
      </c>
    </row>
    <row r="8" ht="60" customHeight="1">
      <c r="A8" s="4" t="inlineStr">
        <is>
          <t>IT operations</t>
        </is>
      </c>
      <c r="B8" s="4" t="inlineStr">
        <is>
          <t>Implementers</t>
        </is>
      </c>
      <c r="C8" s="4" t="inlineStr">
        <is>
          <t>Kevin O'Brien, Fatima Ali, Jason Park</t>
        </is>
      </c>
      <c r="D8" s="4" t="inlineStr">
        <is>
          <t>High</t>
        </is>
      </c>
      <c r="E8" s="4" t="inlineStr">
        <is>
          <t>Medium</t>
        </is>
      </c>
      <c r="F8" s="4" t="inlineStr">
        <is>
          <t>High</t>
        </is>
      </c>
      <c r="G8" s="4" t="inlineStr">
        <is>
          <t>Assigned tasks, due dates, technical detail, change windows</t>
        </is>
      </c>
      <c r="H8" s="4" t="inlineStr">
        <is>
          <t>Phase 1 quick wins (storage, NSG, admin) by Oct 31 clear 3 of the 6 Red KRIs.</t>
        </is>
      </c>
      <c r="I8" s="4" t="inlineStr">
        <is>
          <t>Task board + weekly status in Teams</t>
        </is>
      </c>
      <c r="J8" s="4" t="inlineStr">
        <is>
          <t>Weekly</t>
        </is>
      </c>
      <c r="K8" s="4" t="inlineStr">
        <is>
          <t>Kevin O'Brien</t>
        </is>
      </c>
      <c r="L8" s="4" t="inlineStr">
        <is>
          <t>Task status updates</t>
        </is>
      </c>
    </row>
    <row r="9" ht="60" customHeight="1">
      <c r="A9" s="4" t="inlineStr">
        <is>
          <t>System &amp; data owners</t>
        </is>
      </c>
      <c r="B9" s="4" t="inlineStr">
        <is>
          <t>Business owners</t>
        </is>
      </c>
      <c r="C9" s="4" t="inlineStr">
        <is>
          <t>Sarah Chen, Elena Petrova, David Patel, Grace Nguyen, Daniel Osei, Brian Adeyemi</t>
        </is>
      </c>
      <c r="D9" s="4" t="inlineStr">
        <is>
          <t>Medium</t>
        </is>
      </c>
      <c r="E9" s="4" t="inlineStr">
        <is>
          <t>Medium</t>
        </is>
      </c>
      <c r="F9" s="4" t="inlineStr">
        <is>
          <t>Low</t>
        </is>
      </c>
      <c r="G9" s="4" t="inlineStr">
        <is>
          <t>Risks to their system, downtime targets, decisions they own</t>
        </is>
      </c>
      <c r="H9" s="4" t="inlineStr">
        <is>
          <t>Your system's recovery target is X hours; here is what changes for your team.</t>
        </is>
      </c>
      <c r="I9" s="4" t="inlineStr">
        <is>
          <t>Monthly one-page system brief</t>
        </is>
      </c>
      <c r="J9" s="4" t="inlineStr">
        <is>
          <t>Monthly; at go-live of changes</t>
        </is>
      </c>
      <c r="K9" s="4" t="inlineStr">
        <is>
          <t>Denise Coleman</t>
        </is>
      </c>
      <c r="L9" s="4" t="inlineStr">
        <is>
          <t>Owner sign-off on acceptance</t>
        </is>
      </c>
    </row>
    <row r="10" ht="60" customHeight="1">
      <c r="A10" s="4" t="inlineStr">
        <is>
          <t>Clinical workforce</t>
        </is>
      </c>
      <c r="B10" s="4" t="inlineStr">
        <is>
          <t>End users</t>
        </is>
      </c>
      <c r="C10" s="4" t="inlineStr">
        <is>
          <t>Doctors (5), nurses (7), lab (3), pharmacy (3)</t>
        </is>
      </c>
      <c r="D10" s="4" t="inlineStr">
        <is>
          <t>Low</t>
        </is>
      </c>
      <c r="E10" s="4" t="inlineStr">
        <is>
          <t>Low</t>
        </is>
      </c>
      <c r="F10" s="4" t="inlineStr">
        <is>
          <t>Low</t>
        </is>
      </c>
      <c r="G10" s="4" t="inlineStr">
        <is>
          <t>What changes for them (passkeys, downtime procedures), why, and when</t>
        </is>
      </c>
      <c r="H10" s="4" t="inlineStr">
        <is>
          <t>A quick passkey sign-in protects your patients' records; here is how to set it up.</t>
        </is>
      </c>
      <c r="I10" s="4" t="inlineStr">
        <is>
          <t>Huddle briefings, intranet notice, 2-minute how-to video</t>
        </is>
      </c>
      <c r="J10" s="4" t="inlineStr">
        <is>
          <t>At each rollout; annual training</t>
        </is>
      </c>
      <c r="K10" s="4" t="inlineStr">
        <is>
          <t>Sabitha S Karanavar</t>
        </is>
      </c>
      <c r="L10" s="4" t="inlineStr">
        <is>
          <t>Help-desk ticket trends</t>
        </is>
      </c>
    </row>
    <row r="11" ht="60" customHeight="1">
      <c r="A11" s="4" t="inlineStr">
        <is>
          <t>Business staff</t>
        </is>
      </c>
      <c r="B11" s="4" t="inlineStr">
        <is>
          <t>End users</t>
        </is>
      </c>
      <c r="C11" s="4" t="inlineStr">
        <is>
          <t>Reception, HR, Finance</t>
        </is>
      </c>
      <c r="D11" s="4" t="inlineStr">
        <is>
          <t>Low</t>
        </is>
      </c>
      <c r="E11" s="4" t="inlineStr">
        <is>
          <t>Low</t>
        </is>
      </c>
      <c r="F11" s="4" t="inlineStr">
        <is>
          <t>Low</t>
        </is>
      </c>
      <c r="G11" s="4" t="inlineStr">
        <is>
          <t>New rules (sanction policy, training), sign-in changes</t>
        </is>
      </c>
      <c r="H11" s="4" t="inlineStr">
        <is>
          <t>Complete your HIPAA training by Dec 13; report anything suspicious to Jason Park.</t>
        </is>
      </c>
      <c r="I11" s="4" t="inlineStr">
        <is>
          <t>Email + team meetings</t>
        </is>
      </c>
      <c r="J11" s="4" t="inlineStr">
        <is>
          <t>At rollout; quarterly reminder</t>
        </is>
      </c>
      <c r="K11" s="4" t="inlineStr">
        <is>
          <t>Daniel Osei</t>
        </is>
      </c>
      <c r="L11" s="4" t="inlineStr">
        <is>
          <t>Training completion rate</t>
        </is>
      </c>
    </row>
    <row r="12" ht="60" customHeight="1">
      <c r="A12" s="4" t="inlineStr">
        <is>
          <t>Contractor</t>
        </is>
      </c>
      <c r="B12" s="4" t="inlineStr">
        <is>
          <t>Third party</t>
        </is>
      </c>
      <c r="C12" s="4" t="inlineStr">
        <is>
          <t>Carlos Diaz (IT contractor)</t>
        </is>
      </c>
      <c r="D12" s="4" t="inlineStr">
        <is>
          <t>Medium</t>
        </is>
      </c>
      <c r="E12" s="4" t="inlineStr">
        <is>
          <t>Low</t>
        </is>
      </c>
      <c r="F12" s="4" t="inlineStr">
        <is>
          <t>High</t>
        </is>
      </c>
      <c r="G12" s="4" t="inlineStr">
        <is>
          <t>Access terms, BAA obligations, expiry</t>
        </is>
      </c>
      <c r="H12" s="4" t="inlineStr">
        <is>
          <t>Your access ends on the contract date and is reviewed quarterly under the BAA.</t>
        </is>
      </c>
      <c r="I12" s="4" t="inlineStr">
        <is>
          <t>Formal letter + BAA</t>
        </is>
      </c>
      <c r="J12" s="4" t="inlineStr">
        <is>
          <t>At contract start/renewal</t>
        </is>
      </c>
      <c r="K12" s="4" t="inlineStr">
        <is>
          <t>Kevin O'Brien</t>
        </is>
      </c>
      <c r="L12" s="4" t="inlineStr">
        <is>
          <t>Signed BAA</t>
        </is>
      </c>
    </row>
    <row r="13" ht="60" customHeight="1">
      <c r="A13" s="4" t="inlineStr">
        <is>
          <t>Regulators &amp; auditors</t>
        </is>
      </c>
      <c r="B13" s="4" t="inlineStr">
        <is>
          <t>External</t>
        </is>
      </c>
      <c r="C13" s="4" t="inlineStr">
        <is>
          <t>HHS OCR, external auditor</t>
        </is>
      </c>
      <c r="D13" s="4" t="inlineStr">
        <is>
          <t>Medium</t>
        </is>
      </c>
      <c r="E13" s="4" t="inlineStr">
        <is>
          <t>High</t>
        </is>
      </c>
      <c r="F13" s="4" t="inlineStr">
        <is>
          <t>Medium</t>
        </is>
      </c>
      <c r="G13" s="4" t="inlineStr">
        <is>
          <t>Evidence of risk analysis, management, and breach handling</t>
        </is>
      </c>
      <c r="H13" s="4" t="inlineStr">
        <is>
          <t>HVMC performs and documents risk analysis and acts on it (HIPAA §164.308(a)(1)).</t>
        </is>
      </c>
      <c r="I13" s="4" t="inlineStr">
        <is>
          <t>Formal reports on request; breach notices</t>
        </is>
      </c>
      <c r="J13" s="4" t="inlineStr">
        <is>
          <t>On request; within 60 days of breach discovery</t>
        </is>
      </c>
      <c r="K13" s="4" t="inlineStr">
        <is>
          <t>Privacy Officer (to be designated)</t>
        </is>
      </c>
      <c r="L13" s="4" t="inlineStr">
        <is>
          <t>Audit findings</t>
        </is>
      </c>
    </row>
    <row r="14" ht="60" customHeight="1">
      <c r="A14" s="4" t="inlineStr">
        <is>
          <t>Cyber insurer</t>
        </is>
      </c>
      <c r="B14" s="4" t="inlineStr">
        <is>
          <t>External</t>
        </is>
      </c>
      <c r="C14" s="4" t="inlineStr">
        <is>
          <t>Insurance carrier / broker</t>
        </is>
      </c>
      <c r="D14" s="4" t="inlineStr">
        <is>
          <t>Medium</t>
        </is>
      </c>
      <c r="E14" s="4" t="inlineStr">
        <is>
          <t>Medium</t>
        </is>
      </c>
      <c r="F14" s="4" t="inlineStr">
        <is>
          <t>Medium</t>
        </is>
      </c>
      <c r="G14" s="4" t="inlineStr">
        <is>
          <t>Control attestations (MFA, backups, logging)</t>
        </is>
      </c>
      <c r="H14" s="4" t="inlineStr">
        <is>
          <t>Controls C01, C05, C07 are in place and tested.</t>
        </is>
      </c>
      <c r="I14" s="4" t="inlineStr">
        <is>
          <t>Application questionnaire; renewal attestation</t>
        </is>
      </c>
      <c r="J14" s="4" t="inlineStr">
        <is>
          <t>Annually; at claim</t>
        </is>
      </c>
      <c r="K14" s="4" t="inlineStr">
        <is>
          <t>Brian Adeyemi</t>
        </is>
      </c>
      <c r="L14" s="4" t="inlineStr">
        <is>
          <t>Premium and terms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E18"/>
  <sheetViews>
    <sheetView zoomScale="110"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34" customWidth="1" min="3" max="3"/>
    <col width="20" customWidth="1" min="4" max="4"/>
    <col width="12" customWidth="1" min="5" max="5"/>
  </cols>
  <sheetData>
    <row r="1">
      <c r="A1" s="1" t="inlineStr">
        <is>
          <t>Communication schedule</t>
        </is>
      </c>
    </row>
    <row r="2">
      <c r="A2" s="2" t="inlineStr">
        <is>
          <t>Fixed dates (Oct–Jan) and recurring cadences</t>
        </is>
      </c>
    </row>
    <row r="4" ht="30" customHeight="1">
      <c r="A4" s="3" t="inlineStr">
        <is>
          <t>When</t>
        </is>
      </c>
      <c r="B4" s="3" t="inlineStr">
        <is>
          <t>Communication</t>
        </is>
      </c>
      <c r="C4" s="3" t="inlineStr">
        <is>
          <t>Audience</t>
        </is>
      </c>
      <c r="D4" s="3" t="inlineStr">
        <is>
          <t>Owner</t>
        </is>
      </c>
      <c r="E4" s="3" t="inlineStr">
        <is>
          <t>Sent (date)</t>
        </is>
      </c>
    </row>
    <row r="5">
      <c r="A5" s="4" t="inlineStr">
        <is>
          <t>Oct 19, 2026</t>
        </is>
      </c>
      <c r="B5" s="4" t="inlineStr">
        <is>
          <t>Plan kick-off brief; Phase 1 tasks assigned</t>
        </is>
      </c>
      <c r="C5" s="4" t="inlineStr">
        <is>
          <t>IT operations; Security team</t>
        </is>
      </c>
      <c r="D5" s="4" t="inlineStr">
        <is>
          <t>Denise Coleman</t>
        </is>
      </c>
      <c r="E5" s="5" t="inlineStr"/>
    </row>
    <row r="6">
      <c r="A6" s="4" t="inlineStr">
        <is>
          <t>Oct 21, 2026</t>
        </is>
      </c>
      <c r="B6" s="4" t="inlineStr">
        <is>
          <t>Board pack: risk report and plan approval request</t>
        </is>
      </c>
      <c r="C6" s="4" t="inlineStr">
        <is>
          <t>Board; Executive Risk Committee</t>
        </is>
      </c>
      <c r="D6" s="4" t="inlineStr">
        <is>
          <t>Denise Coleman</t>
        </is>
      </c>
      <c r="E6" s="5" t="inlineStr"/>
    </row>
    <row r="7">
      <c r="A7" s="4" t="inlineStr">
        <is>
          <t>Oct 26, 2026</t>
        </is>
      </c>
      <c r="B7" s="4" t="inlineStr">
        <is>
          <t>System briefs: recovery targets and changes</t>
        </is>
      </c>
      <c r="C7" s="4" t="inlineStr">
        <is>
          <t>System &amp; data owners</t>
        </is>
      </c>
      <c r="D7" s="4" t="inlineStr">
        <is>
          <t>Denise Coleman</t>
        </is>
      </c>
      <c r="E7" s="5" t="inlineStr"/>
    </row>
    <row r="8">
      <c r="A8" s="4" t="inlineStr">
        <is>
          <t>Nov 2, 2026</t>
        </is>
      </c>
      <c r="B8" s="4" t="inlineStr">
        <is>
          <t>Phase 1 results: KRIs turned Green</t>
        </is>
      </c>
      <c r="C8" s="4" t="inlineStr">
        <is>
          <t>Executive Risk Committee</t>
        </is>
      </c>
      <c r="D8" s="4" t="inlineStr">
        <is>
          <t>Anthony Ruiz</t>
        </is>
      </c>
      <c r="E8" s="5" t="inlineStr"/>
    </row>
    <row r="9">
      <c r="A9" s="4" t="inlineStr">
        <is>
          <t>Nov 16, 2026</t>
        </is>
      </c>
      <c r="B9" s="4" t="inlineStr">
        <is>
          <t>Passkey rollout notice + how-to</t>
        </is>
      </c>
      <c r="C9" s="4" t="inlineStr">
        <is>
          <t>Clinical workforce; Business staff</t>
        </is>
      </c>
      <c r="D9" s="4" t="inlineStr">
        <is>
          <t>Sabitha S Karanavar</t>
        </is>
      </c>
      <c r="E9" s="5" t="inlineStr"/>
    </row>
    <row r="10">
      <c r="A10" s="4" t="inlineStr">
        <is>
          <t>Nov 30, 2026</t>
        </is>
      </c>
      <c r="B10" s="4" t="inlineStr">
        <is>
          <t>Monthly KPI review</t>
        </is>
      </c>
      <c r="C10" s="4" t="inlineStr">
        <is>
          <t>Executive Risk Committee</t>
        </is>
      </c>
      <c r="D10" s="4" t="inlineStr">
        <is>
          <t>Denise Coleman</t>
        </is>
      </c>
      <c r="E10" s="5" t="inlineStr"/>
    </row>
    <row r="11">
      <c r="A11" s="4" t="inlineStr">
        <is>
          <t>Dec 13, 2026</t>
        </is>
      </c>
      <c r="B11" s="4" t="inlineStr">
        <is>
          <t>Plan completion report; residual-risk acceptance</t>
        </is>
      </c>
      <c r="C11" s="4" t="inlineStr">
        <is>
          <t>Executive Risk Committee; owners</t>
        </is>
      </c>
      <c r="D11" s="4" t="inlineStr">
        <is>
          <t>Denise Coleman</t>
        </is>
      </c>
      <c r="E11" s="5" t="inlineStr"/>
    </row>
    <row r="12">
      <c r="A12" s="4" t="inlineStr">
        <is>
          <t>Jan 2027</t>
        </is>
      </c>
      <c r="B12" s="4" t="inlineStr">
        <is>
          <t>Quarterly board update (Q4 KPIs)</t>
        </is>
      </c>
      <c r="C12" s="4" t="inlineStr">
        <is>
          <t>Board</t>
        </is>
      </c>
      <c r="D12" s="4" t="inlineStr">
        <is>
          <t>Denise Coleman</t>
        </is>
      </c>
      <c r="E12" s="5" t="inlineStr"/>
    </row>
    <row r="13">
      <c r="A13" s="4" t="inlineStr">
        <is>
          <t>Weekly</t>
        </is>
      </c>
      <c r="B13" s="4" t="inlineStr">
        <is>
          <t>IT status stand-up</t>
        </is>
      </c>
      <c r="C13" s="4" t="inlineStr">
        <is>
          <t>IT operations</t>
        </is>
      </c>
      <c r="D13" s="4" t="inlineStr">
        <is>
          <t>Kevin O'Brien</t>
        </is>
      </c>
      <c r="E13" s="5" t="inlineStr"/>
    </row>
    <row r="14">
      <c r="A14" s="4" t="inlineStr">
        <is>
          <t>Daily (automated)</t>
        </is>
      </c>
      <c r="B14" s="4" t="inlineStr">
        <is>
          <t>kri_monitor.py run; Red KRI → alert</t>
        </is>
      </c>
      <c r="C14" s="4" t="inlineStr">
        <is>
          <t>Security team</t>
        </is>
      </c>
      <c r="D14" s="4" t="inlineStr">
        <is>
          <t>Anthony Ruiz</t>
        </is>
      </c>
      <c r="E14" s="5" t="inlineStr"/>
    </row>
    <row r="15">
      <c r="A15" s="4" t="inlineStr">
        <is>
          <t>Monthly</t>
        </is>
      </c>
      <c r="B15" s="4" t="inlineStr">
        <is>
          <t>Dashboard review + checklist re-run</t>
        </is>
      </c>
      <c r="C15" s="4" t="inlineStr">
        <is>
          <t>Executive Risk Committee</t>
        </is>
      </c>
      <c r="D15" s="4" t="inlineStr">
        <is>
          <t>Anthony Ruiz</t>
        </is>
      </c>
      <c r="E15" s="5" t="inlineStr"/>
    </row>
    <row r="16">
      <c r="A16" s="4" t="inlineStr">
        <is>
          <t>Quarterly</t>
        </is>
      </c>
      <c r="B16" s="4" t="inlineStr">
        <is>
          <t>Board pack; control tests; residual re-score</t>
        </is>
      </c>
      <c r="C16" s="4" t="inlineStr">
        <is>
          <t>Board; owners</t>
        </is>
      </c>
      <c r="D16" s="4" t="inlineStr">
        <is>
          <t>Denise Coleman</t>
        </is>
      </c>
      <c r="E16" s="5" t="inlineStr"/>
    </row>
    <row r="17">
      <c r="A17" s="4" t="inlineStr">
        <is>
          <t>Annually</t>
        </is>
      </c>
      <c r="B17" s="4" t="inlineStr">
        <is>
          <t>Strategy, weights and appetite review; insurer renewal</t>
        </is>
      </c>
      <c r="C17" s="4" t="inlineStr">
        <is>
          <t>Board; Executive Risk Committee</t>
        </is>
      </c>
      <c r="D17" s="4" t="inlineStr">
        <is>
          <t>Denise Coleman</t>
        </is>
      </c>
      <c r="E17" s="5" t="inlineStr"/>
    </row>
    <row r="18">
      <c r="A18" s="4" t="inlineStr">
        <is>
          <t>Event</t>
        </is>
      </c>
      <c r="B18" s="4" t="inlineStr">
        <is>
          <t>Critical incident: exec notice within 1 h; breach assessment; §164.404 notice ≤ 60 days</t>
        </is>
      </c>
      <c r="C18" s="4" t="inlineStr">
        <is>
          <t>Executives; OCR; patients</t>
        </is>
      </c>
      <c r="D18" s="4" t="inlineStr">
        <is>
          <t>Privacy Officer</t>
        </is>
      </c>
      <c r="E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2026-10-14T18:40:13Z</dcterms:created>
  <dcterms:modified xsi:type="dcterms:W3CDTF">2026-10-14T18:40:13Z</dcterms:modified>
</cp:coreProperties>
</file>