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History" sheetId="2" state="visible" r:id="rId2"/>
    <sheet name="Monthly Snapshots" sheetId="3" state="visible" r:id="rId3"/>
    <sheet name="KRI Log" sheetId="4" state="visible" r:id="rId4"/>
    <sheet name="Change Detection Log" sheetId="5" state="visible" r:id="rId5"/>
    <sheet name="Monitoring Runs" sheetId="6" state="visible" r:id="rId6"/>
  </sheets>
  <definedNames>
    <definedName name="_xlnm._FilterDatabase" localSheetId="0" hidden="1">'Register'!$A$5:$AA$21</definedName>
    <definedName name="_xlnm._FilterDatabase" localSheetId="1" hidden="1">'History'!$A$4:$G$64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A9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E8710A"/>
        </patternFill>
      </fill>
    </dxf>
    <dxf>
      <font>
        <b val="1"/>
        <color rgb="00222222"/>
      </font>
      <fill>
        <patternFill patternType="solid">
          <fgColor rgb="00F2C037"/>
        </patternFill>
      </fill>
    </dxf>
    <dxf>
      <font>
        <b val="1"/>
        <color rgb="00FFFFFF"/>
      </font>
      <fill>
        <patternFill patternType="solid">
          <fgColor rgb="005AA469"/>
        </patternFill>
      </fill>
    </dxf>
    <dxf>
      <font>
        <b val="1"/>
        <color rgb="00222222"/>
      </font>
      <fill>
        <patternFill patternType="solid">
          <fgColor rgb="009FB3CF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E21"/>
  <sheetViews>
    <sheetView zoomScale="11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28" customWidth="1" min="4" max="4"/>
    <col width="40" customWidth="1" min="5" max="5"/>
    <col width="18" customWidth="1" min="6" max="6"/>
    <col width="5" customWidth="1" min="7" max="7"/>
    <col width="7" customWidth="1" min="8" max="8"/>
    <col width="7" customWidth="1" min="9" max="9"/>
    <col width="10" customWidth="1" min="10" max="10"/>
    <col width="5" customWidth="1" min="11" max="11"/>
    <col width="5" customWidth="1" min="12" max="12"/>
    <col width="5" customWidth="1" min="13" max="13"/>
    <col width="5" customWidth="1" min="14" max="14"/>
    <col width="9" customWidth="1" min="15" max="15"/>
    <col width="9" customWidth="1" min="16" max="16"/>
    <col width="11" customWidth="1" min="17" max="17"/>
    <col width="16" customWidth="1" min="18" max="18"/>
    <col width="12" customWidth="1" min="19" max="19"/>
    <col width="18" customWidth="1" min="20" max="20"/>
    <col width="9" customWidth="1" min="21" max="21"/>
    <col width="11" customWidth="1" min="22" max="22"/>
    <col width="16" customWidth="1" min="23" max="23"/>
    <col width="11" customWidth="1" min="24" max="24"/>
    <col width="11" customWidth="1" min="25" max="25"/>
    <col width="11" customWidth="1" min="26" max="26"/>
    <col width="12" customWidth="1" min="27" max="27"/>
  </cols>
  <sheetData>
    <row r="1">
      <c r="A1" s="1" t="inlineStr">
        <is>
          <t>HVMC Comprehensive Risk Register — v2</t>
        </is>
      </c>
    </row>
    <row r="2">
      <c r="A2" s="2" t="inlineStr">
        <is>
          <t>Consolidates assessment (5×5), evaluation (weighted), mitigation (treatment, residual) and monitoring (KRIs). Weights in cells AB3:AE3.</t>
        </is>
      </c>
    </row>
    <row r="3">
      <c r="AB3" s="3" t="n">
        <v>0.19</v>
      </c>
      <c r="AC3" s="3" t="n">
        <v>0.36</v>
      </c>
      <c r="AD3" s="3" t="n">
        <v>0.33</v>
      </c>
      <c r="AE3" s="3" t="n">
        <v>0.12</v>
      </c>
    </row>
    <row r="5" ht="32" customHeight="1">
      <c r="A5" s="4" t="inlineStr">
        <is>
          <t>ID</t>
        </is>
      </c>
      <c r="B5" s="4" t="inlineStr">
        <is>
          <t>Risk</t>
        </is>
      </c>
      <c r="C5" s="4" t="inlineStr">
        <is>
          <t>Asset</t>
        </is>
      </c>
      <c r="D5" s="4" t="inlineStr">
        <is>
          <t>Threat</t>
        </is>
      </c>
      <c r="E5" s="4" t="inlineStr">
        <is>
          <t>Vulnerability</t>
        </is>
      </c>
      <c r="F5" s="4" t="inlineStr">
        <is>
          <t>Owner</t>
        </is>
      </c>
      <c r="G5" s="4" t="inlineStr">
        <is>
          <t>L</t>
        </is>
      </c>
      <c r="H5" s="4" t="inlineStr">
        <is>
          <t>I (5×5)</t>
        </is>
      </c>
      <c r="I5" s="4" t="inlineStr">
        <is>
          <t>5×5 score</t>
        </is>
      </c>
      <c r="J5" s="4" t="inlineStr">
        <is>
          <t>5×5 rating</t>
        </is>
      </c>
      <c r="K5" s="4" t="inlineStr">
        <is>
          <t>F</t>
        </is>
      </c>
      <c r="L5" s="4" t="inlineStr">
        <is>
          <t>O</t>
        </is>
      </c>
      <c r="M5" s="4" t="inlineStr">
        <is>
          <t>C</t>
        </is>
      </c>
      <c r="N5" s="4" t="inlineStr">
        <is>
          <t>R</t>
        </is>
      </c>
      <c r="O5" s="4" t="inlineStr">
        <is>
          <t>Weighted impact</t>
        </is>
      </c>
      <c r="P5" s="4" t="inlineStr">
        <is>
          <t>Weighted score</t>
        </is>
      </c>
      <c r="Q5" s="4" t="inlineStr">
        <is>
          <t>Rating (weighted)</t>
        </is>
      </c>
      <c r="R5" s="4" t="inlineStr">
        <is>
          <t>Strategy</t>
        </is>
      </c>
      <c r="S5" s="4" t="inlineStr">
        <is>
          <t>Treatments</t>
        </is>
      </c>
      <c r="T5" s="4" t="inlineStr">
        <is>
          <t>Live KRIs</t>
        </is>
      </c>
      <c r="U5" s="4" t="inlineStr">
        <is>
          <t>Target residual</t>
        </is>
      </c>
      <c r="V5" s="4" t="inlineStr">
        <is>
          <t>Target rating</t>
        </is>
      </c>
      <c r="W5" s="4" t="inlineStr">
        <is>
          <t>Status</t>
        </is>
      </c>
      <c r="X5" s="4" t="inlineStr">
        <is>
          <t>Opened</t>
        </is>
      </c>
      <c r="Y5" s="4" t="inlineStr">
        <is>
          <t>Last reviewed</t>
        </is>
      </c>
      <c r="Z5" s="4" t="inlineStr">
        <is>
          <t>Next review</t>
        </is>
      </c>
      <c r="AA5" s="4" t="inlineStr">
        <is>
          <t>ALE (if quantified)</t>
        </is>
      </c>
    </row>
    <row r="6">
      <c r="A6" s="5" t="inlineStr">
        <is>
          <t>R01</t>
        </is>
      </c>
      <c r="B6" s="5" t="inlineStr">
        <is>
          <t>Security incident goes undetected for months (no central logging or alerting)</t>
        </is>
      </c>
      <c r="C6" s="5" t="inlineStr">
        <is>
          <t>All Azure resources</t>
        </is>
      </c>
      <c r="D6" s="5" t="inlineStr">
        <is>
          <t>External attacker / insider (T1562.008 Disable Cloud Logs)</t>
        </is>
      </c>
      <c r="E6" s="5" t="inlineStr">
        <is>
          <t>V01: 0 Log Analytics workspaces, 0 activity-log diagnostic settings, 0 alert rules, 0 NSG flow logs</t>
        </is>
      </c>
      <c r="F6" s="5" t="inlineStr">
        <is>
          <t>Fatima Ali</t>
        </is>
      </c>
      <c r="G6" s="6" t="n">
        <v>4</v>
      </c>
      <c r="H6" s="6" t="n">
        <v>5</v>
      </c>
      <c r="I6" s="5">
        <f>G6*H6</f>
        <v/>
      </c>
      <c r="J6" s="5">
        <f>IF(I6&gt;=20,"Critical",IF(I6&gt;=12,"High",IF(I6&gt;=6,"Medium","Low")))</f>
        <v/>
      </c>
      <c r="K6" s="6" t="n">
        <v>5</v>
      </c>
      <c r="L6" s="6" t="n">
        <v>3</v>
      </c>
      <c r="M6" s="6" t="n">
        <v>5</v>
      </c>
      <c r="N6" s="6" t="n">
        <v>4</v>
      </c>
      <c r="O6" s="7">
        <f>K6*$AB$3+L6*$AC$3+M6*$AD$3+N6*$AE$3</f>
        <v/>
      </c>
      <c r="P6" s="7">
        <f>G6*O6</f>
        <v/>
      </c>
      <c r="Q6" s="5">
        <f>IF(AND(MAX(K6:N6)=5,G6&gt;=3,P6&lt;12),"High",IF(P6&gt;=20,"Critical",IF(P6&gt;=12,"High",IF(P6&gt;=6,"Medium","Low"))))</f>
        <v/>
      </c>
      <c r="R6" s="5" t="inlineStr">
        <is>
          <t>Mitigate</t>
        </is>
      </c>
      <c r="S6" s="5" t="inlineStr">
        <is>
          <t>C01</t>
        </is>
      </c>
      <c r="T6" s="5" t="inlineStr">
        <is>
          <t>K07 Red, K08 Red, K09 Amber</t>
        </is>
      </c>
      <c r="U6" s="7" t="n">
        <v>6.66</v>
      </c>
      <c r="V6" s="5" t="inlineStr">
        <is>
          <t>Medium</t>
        </is>
      </c>
      <c r="W6" s="6" t="inlineStr">
        <is>
          <t>Treatment planned</t>
        </is>
      </c>
      <c r="X6" s="8" t="n">
        <v>46308</v>
      </c>
      <c r="Y6" s="8" t="n">
        <v>46309</v>
      </c>
      <c r="Z6" s="8">
        <f>Y6+30</f>
        <v/>
      </c>
      <c r="AA6" s="9" t="n">
        <v>864926.4599999998</v>
      </c>
    </row>
    <row r="7">
      <c r="A7" s="5" t="inlineStr">
        <is>
          <t>R02</t>
        </is>
      </c>
      <c r="B7" s="5" t="inlineStr">
        <is>
          <t>ePHI exfiltration from EHR storage over the public internet</t>
        </is>
      </c>
      <c r="C7" s="5" t="inlineStr">
        <is>
          <t>hvmcehrstorage (ePHI)</t>
        </is>
      </c>
      <c r="D7" s="5" t="inlineStr">
        <is>
          <t>External attacker using stolen key or SAS token (T1530 Data from Cloud Storage)</t>
        </is>
      </c>
      <c r="E7" s="5" t="inlineStr">
        <is>
          <t>V02: public network access Enabled, firewall default Allow, shared-key access enabled</t>
        </is>
      </c>
      <c r="F7" s="5" t="inlineStr">
        <is>
          <t>Fatima Ali</t>
        </is>
      </c>
      <c r="G7" s="6" t="n">
        <v>3</v>
      </c>
      <c r="H7" s="6" t="n">
        <v>5</v>
      </c>
      <c r="I7" s="5">
        <f>G7*H7</f>
        <v/>
      </c>
      <c r="J7" s="5">
        <f>IF(I7&gt;=20,"Critical",IF(I7&gt;=12,"High",IF(I7&gt;=6,"Medium","Low")))</f>
        <v/>
      </c>
      <c r="K7" s="6" t="n">
        <v>5</v>
      </c>
      <c r="L7" s="6" t="n">
        <v>2</v>
      </c>
      <c r="M7" s="6" t="n">
        <v>5</v>
      </c>
      <c r="N7" s="6" t="n">
        <v>5</v>
      </c>
      <c r="O7" s="7">
        <f>K7*$AB$3+L7*$AC$3+M7*$AD$3+N7*$AE$3</f>
        <v/>
      </c>
      <c r="P7" s="7">
        <f>G7*O7</f>
        <v/>
      </c>
      <c r="Q7" s="5">
        <f>IF(AND(MAX(K7:N7)=5,G7&gt;=3,P7&lt;12),"High",IF(P7&gt;=20,"Critical",IF(P7&gt;=12,"High",IF(P7&gt;=6,"Medium","Low"))))</f>
        <v/>
      </c>
      <c r="R7" s="5" t="inlineStr">
        <is>
          <t>Mitigate + Transfer</t>
        </is>
      </c>
      <c r="S7" s="5" t="inlineStr">
        <is>
          <t>C02, T01</t>
        </is>
      </c>
      <c r="T7" s="5" t="inlineStr">
        <is>
          <t>K01 Red, K02 Amber</t>
        </is>
      </c>
      <c r="U7" s="7" t="n">
        <v>3.92</v>
      </c>
      <c r="V7" s="5" t="inlineStr">
        <is>
          <t>Low</t>
        </is>
      </c>
      <c r="W7" s="6" t="inlineStr">
        <is>
          <t>Treatment planned</t>
        </is>
      </c>
      <c r="X7" s="8" t="n">
        <v>46308</v>
      </c>
      <c r="Y7" s="8" t="n">
        <v>46309</v>
      </c>
      <c r="Z7" s="8">
        <f>Y7+30</f>
        <v/>
      </c>
      <c r="AA7" s="9" t="n">
        <v>600643.375</v>
      </c>
    </row>
    <row r="8">
      <c r="A8" s="5" t="inlineStr">
        <is>
          <t>R03</t>
        </is>
      </c>
      <c r="B8" s="5" t="inlineStr">
        <is>
          <t>Lateral movement from Web tier to Data tier</t>
        </is>
      </c>
      <c r="C8" s="5" t="inlineStr">
        <is>
          <t>HVMC-Data-Subnet (SQL 1433)</t>
        </is>
      </c>
      <c r="D8" s="5" t="inlineStr">
        <is>
          <t>Attacker on compromised web server (T1021 Remote Services)</t>
        </is>
      </c>
      <c r="E8" s="5" t="inlineStr">
        <is>
          <t>V03: HVMC-Data-NSG has no deny rule; default AllowVnetInBound (65000) permits Web→Data on any port</t>
        </is>
      </c>
      <c r="F8" s="5" t="inlineStr">
        <is>
          <t>Fatima Ali</t>
        </is>
      </c>
      <c r="G8" s="6" t="n">
        <v>3</v>
      </c>
      <c r="H8" s="6" t="n">
        <v>5</v>
      </c>
      <c r="I8" s="5">
        <f>G8*H8</f>
        <v/>
      </c>
      <c r="J8" s="5">
        <f>IF(I8&gt;=20,"Critical",IF(I8&gt;=12,"High",IF(I8&gt;=6,"Medium","Low")))</f>
        <v/>
      </c>
      <c r="K8" s="6" t="n">
        <v>5</v>
      </c>
      <c r="L8" s="6" t="n">
        <v>4</v>
      </c>
      <c r="M8" s="6" t="n">
        <v>5</v>
      </c>
      <c r="N8" s="6" t="n">
        <v>4</v>
      </c>
      <c r="O8" s="7">
        <f>K8*$AB$3+L8*$AC$3+M8*$AD$3+N8*$AE$3</f>
        <v/>
      </c>
      <c r="P8" s="7">
        <f>G8*O8</f>
        <v/>
      </c>
      <c r="Q8" s="5">
        <f>IF(AND(MAX(K8:N8)=5,G8&gt;=3,P8&lt;12),"High",IF(P8&gt;=20,"Critical",IF(P8&gt;=12,"High",IF(P8&gt;=6,"Medium","Low"))))</f>
        <v/>
      </c>
      <c r="R8" s="5" t="inlineStr">
        <is>
          <t>Mitigate</t>
        </is>
      </c>
      <c r="S8" s="5" t="inlineStr">
        <is>
          <t>C03</t>
        </is>
      </c>
      <c r="T8" s="5" t="inlineStr">
        <is>
          <t>K05 Red</t>
        </is>
      </c>
      <c r="U8" s="7" t="n">
        <v>4.52</v>
      </c>
      <c r="V8" s="5" t="inlineStr">
        <is>
          <t>Low</t>
        </is>
      </c>
      <c r="W8" s="6" t="inlineStr">
        <is>
          <t>Treatment planned</t>
        </is>
      </c>
      <c r="X8" s="8" t="n">
        <v>46308</v>
      </c>
      <c r="Y8" s="8" t="n">
        <v>46309</v>
      </c>
      <c r="Z8" s="8">
        <f>Y8+30</f>
        <v/>
      </c>
      <c r="AA8" s="9" t="n"/>
    </row>
    <row r="9">
      <c r="A9" s="5" t="inlineStr">
        <is>
          <t>R04</t>
        </is>
      </c>
      <c r="B9" s="5" t="inlineStr">
        <is>
          <t>Loss or takeover of the only Global Administrator account</t>
        </is>
      </c>
      <c r="C9" s="5" t="inlineStr">
        <is>
          <t>Entra ID tenant</t>
        </is>
      </c>
      <c r="D9" s="5" t="inlineStr">
        <is>
          <t>Phishing / account lockout (T1078.004 Valid Cloud Accounts)</t>
        </is>
      </c>
      <c r="E9" s="5" t="inlineStr">
        <is>
          <t>V04: 1 Global Administrator, no break-glass account, same person is subscription Owner</t>
        </is>
      </c>
      <c r="F9" s="5" t="inlineStr">
        <is>
          <t>Sabitha S Karanavar</t>
        </is>
      </c>
      <c r="G9" s="6" t="n">
        <v>3</v>
      </c>
      <c r="H9" s="6" t="n">
        <v>4</v>
      </c>
      <c r="I9" s="5">
        <f>G9*H9</f>
        <v/>
      </c>
      <c r="J9" s="5">
        <f>IF(I9&gt;=20,"Critical",IF(I9&gt;=12,"High",IF(I9&gt;=6,"Medium","Low")))</f>
        <v/>
      </c>
      <c r="K9" s="6" t="n">
        <v>3</v>
      </c>
      <c r="L9" s="6" t="n">
        <v>4</v>
      </c>
      <c r="M9" s="6" t="n">
        <v>3</v>
      </c>
      <c r="N9" s="6" t="n">
        <v>2</v>
      </c>
      <c r="O9" s="7">
        <f>K9*$AB$3+L9*$AC$3+M9*$AD$3+N9*$AE$3</f>
        <v/>
      </c>
      <c r="P9" s="7">
        <f>G9*O9</f>
        <v/>
      </c>
      <c r="Q9" s="5">
        <f>IF(AND(MAX(K9:N9)=5,G9&gt;=3,P9&lt;12),"High",IF(P9&gt;=20,"Critical",IF(P9&gt;=12,"High",IF(P9&gt;=6,"Medium","Low"))))</f>
        <v/>
      </c>
      <c r="R9" s="5" t="inlineStr">
        <is>
          <t>Mitigate</t>
        </is>
      </c>
      <c r="S9" s="5" t="inlineStr">
        <is>
          <t>C04</t>
        </is>
      </c>
      <c r="T9" s="5" t="inlineStr">
        <is>
          <t>K06 Red</t>
        </is>
      </c>
      <c r="U9" s="7" t="n">
        <v>3.24</v>
      </c>
      <c r="V9" s="5" t="inlineStr">
        <is>
          <t>Low</t>
        </is>
      </c>
      <c r="W9" s="6" t="inlineStr">
        <is>
          <t>Treatment planned</t>
        </is>
      </c>
      <c r="X9" s="8" t="n">
        <v>46308</v>
      </c>
      <c r="Y9" s="8" t="n">
        <v>46309</v>
      </c>
      <c r="Z9" s="8">
        <f>Y9+30</f>
        <v/>
      </c>
      <c r="AA9" s="9" t="n"/>
    </row>
    <row r="10">
      <c r="A10" s="5" t="inlineStr">
        <is>
          <t>R05</t>
        </is>
      </c>
      <c r="B10" s="5" t="inlineStr">
        <is>
          <t>Ransomware or malicious deletion destroys EHR data</t>
        </is>
      </c>
      <c r="C10" s="5" t="inlineStr">
        <is>
          <t>hvmcehrstorage (ePHI)</t>
        </is>
      </c>
      <c r="D10" s="5" t="inlineStr">
        <is>
          <t>Ransomware group (T1486 Data Encrypted for Impact, T1485 Data Destruction)</t>
        </is>
      </c>
      <c r="E10" s="5" t="inlineStr">
        <is>
          <t>V05: blob versioning off, soft delete only 7 days, 0 resource locks, restore never tested</t>
        </is>
      </c>
      <c r="F10" s="5" t="inlineStr">
        <is>
          <t>Fatima Ali</t>
        </is>
      </c>
      <c r="G10" s="6" t="n">
        <v>3</v>
      </c>
      <c r="H10" s="6" t="n">
        <v>5</v>
      </c>
      <c r="I10" s="5">
        <f>G10*H10</f>
        <v/>
      </c>
      <c r="J10" s="5">
        <f>IF(I10&gt;=20,"Critical",IF(I10&gt;=12,"High",IF(I10&gt;=6,"Medium","Low")))</f>
        <v/>
      </c>
      <c r="K10" s="6" t="n">
        <v>5</v>
      </c>
      <c r="L10" s="6" t="n">
        <v>5</v>
      </c>
      <c r="M10" s="6" t="n">
        <v>4</v>
      </c>
      <c r="N10" s="6" t="n">
        <v>5</v>
      </c>
      <c r="O10" s="7">
        <f>K10*$AB$3+L10*$AC$3+M10*$AD$3+N10*$AE$3</f>
        <v/>
      </c>
      <c r="P10" s="7">
        <f>G10*O10</f>
        <v/>
      </c>
      <c r="Q10" s="5">
        <f>IF(AND(MAX(K10:N10)=5,G10&gt;=3,P10&lt;12),"High",IF(P10&gt;=20,"Critical",IF(P10&gt;=12,"High",IF(P10&gt;=6,"Medium","Low"))))</f>
        <v/>
      </c>
      <c r="R10" s="5" t="inlineStr">
        <is>
          <t>Mitigate + Transfer</t>
        </is>
      </c>
      <c r="S10" s="5" t="inlineStr">
        <is>
          <t>C05, T01</t>
        </is>
      </c>
      <c r="T10" s="5" t="inlineStr">
        <is>
          <t>K03 Red, K04 Amber</t>
        </is>
      </c>
      <c r="U10" s="7" t="n">
        <v>9</v>
      </c>
      <c r="V10" s="5" t="inlineStr">
        <is>
          <t>Medium</t>
        </is>
      </c>
      <c r="W10" s="6" t="inlineStr">
        <is>
          <t>Treatment planned</t>
        </is>
      </c>
      <c r="X10" s="8" t="n">
        <v>46308</v>
      </c>
      <c r="Y10" s="8" t="n">
        <v>46309</v>
      </c>
      <c r="Z10" s="8">
        <f>Y10+30</f>
        <v/>
      </c>
      <c r="AA10" s="9" t="n">
        <v>1057132.34</v>
      </c>
    </row>
    <row r="11">
      <c r="A11" s="5" t="inlineStr">
        <is>
          <t>R06</t>
        </is>
      </c>
      <c r="B11" s="5" t="inlineStr">
        <is>
          <t>Contractor retains access after engagement ends; no BAA</t>
        </is>
      </c>
      <c r="C11" s="5" t="inlineStr">
        <is>
          <t>VPN Portal</t>
        </is>
      </c>
      <c r="D11" s="5" t="inlineStr">
        <is>
          <t>Trusted third party (T1078 Valid Accounts)</t>
        </is>
      </c>
      <c r="E11" s="5" t="inlineStr">
        <is>
          <t>V06: Carlos Diaz account has no expiry date; no business associate agreement on file</t>
        </is>
      </c>
      <c r="F11" s="5" t="inlineStr">
        <is>
          <t>Kevin O'Brien</t>
        </is>
      </c>
      <c r="G11" s="6" t="n">
        <v>2</v>
      </c>
      <c r="H11" s="6" t="n">
        <v>4</v>
      </c>
      <c r="I11" s="5">
        <f>G11*H11</f>
        <v/>
      </c>
      <c r="J11" s="5">
        <f>IF(I11&gt;=20,"Critical",IF(I11&gt;=12,"High",IF(I11&gt;=6,"Medium","Low")))</f>
        <v/>
      </c>
      <c r="K11" s="6" t="n">
        <v>2</v>
      </c>
      <c r="L11" s="6" t="n">
        <v>1</v>
      </c>
      <c r="M11" s="6" t="n">
        <v>4</v>
      </c>
      <c r="N11" s="6" t="n">
        <v>2</v>
      </c>
      <c r="O11" s="7">
        <f>K11*$AB$3+L11*$AC$3+M11*$AD$3+N11*$AE$3</f>
        <v/>
      </c>
      <c r="P11" s="7">
        <f>G11*O11</f>
        <v/>
      </c>
      <c r="Q11" s="5">
        <f>IF(AND(MAX(K11:N11)=5,G11&gt;=3,P11&lt;12),"High",IF(P11&gt;=20,"Critical",IF(P11&gt;=12,"High",IF(P11&gt;=6,"Medium","Low"))))</f>
        <v/>
      </c>
      <c r="R11" s="5" t="inlineStr">
        <is>
          <t>Transfer</t>
        </is>
      </c>
      <c r="S11" s="5" t="inlineStr">
        <is>
          <t>C12</t>
        </is>
      </c>
      <c r="T11" s="5" t="inlineStr">
        <is>
          <t>manual</t>
        </is>
      </c>
      <c r="U11" s="7" t="n">
        <v>1.97</v>
      </c>
      <c r="V11" s="5" t="inlineStr">
        <is>
          <t>Low</t>
        </is>
      </c>
      <c r="W11" s="6" t="inlineStr">
        <is>
          <t>Treatment planned</t>
        </is>
      </c>
      <c r="X11" s="8" t="n">
        <v>46308</v>
      </c>
      <c r="Y11" s="8" t="n">
        <v>46309</v>
      </c>
      <c r="Z11" s="8">
        <f>Y11+30</f>
        <v/>
      </c>
      <c r="AA11" s="9" t="n"/>
    </row>
    <row r="12">
      <c r="A12" s="5" t="inlineStr">
        <is>
          <t>R07</t>
        </is>
      </c>
      <c r="B12" s="5" t="inlineStr">
        <is>
          <t>Shared test account in production can read ePHI</t>
        </is>
      </c>
      <c r="C12" s="5" t="inlineStr">
        <is>
          <t>hvmcehrstorage (ePHI)</t>
        </is>
      </c>
      <c r="D12" s="5" t="inlineStr">
        <is>
          <t>Insider or attacker reusing test credentials (T1078)</t>
        </is>
      </c>
      <c r="E12" s="5" t="inlineStr">
        <is>
          <t>V07: Test Nurse - EHR holds HVMC-Nurse-EHR-ReadOnly on hvmcehrstorage</t>
        </is>
      </c>
      <c r="F12" s="5" t="inlineStr">
        <is>
          <t>Sabitha S Karanavar</t>
        </is>
      </c>
      <c r="G12" s="6" t="n">
        <v>2</v>
      </c>
      <c r="H12" s="6" t="n">
        <v>3</v>
      </c>
      <c r="I12" s="5">
        <f>G12*H12</f>
        <v/>
      </c>
      <c r="J12" s="5">
        <f>IF(I12&gt;=20,"Critical",IF(I12&gt;=12,"High",IF(I12&gt;=6,"Medium","Low")))</f>
        <v/>
      </c>
      <c r="K12" s="6" t="n">
        <v>1</v>
      </c>
      <c r="L12" s="6" t="n">
        <v>1</v>
      </c>
      <c r="M12" s="6" t="n">
        <v>3</v>
      </c>
      <c r="N12" s="6" t="n">
        <v>2</v>
      </c>
      <c r="O12" s="7">
        <f>K12*$AB$3+L12*$AC$3+M12*$AD$3+N12*$AE$3</f>
        <v/>
      </c>
      <c r="P12" s="7">
        <f>G12*O12</f>
        <v/>
      </c>
      <c r="Q12" s="5">
        <f>IF(AND(MAX(K12:N12)=5,G12&gt;=3,P12&lt;12),"High",IF(P12&gt;=20,"Critical",IF(P12&gt;=12,"High",IF(P12&gt;=6,"Medium","Low"))))</f>
        <v/>
      </c>
      <c r="R12" s="5" t="inlineStr">
        <is>
          <t>Avoid</t>
        </is>
      </c>
      <c r="S12" s="5" t="inlineStr">
        <is>
          <t>C14</t>
        </is>
      </c>
      <c r="T12" s="5" t="inlineStr">
        <is>
          <t>K14 Amber</t>
        </is>
      </c>
      <c r="U12" s="7" t="n">
        <v>0</v>
      </c>
      <c r="V12" s="5" t="inlineStr">
        <is>
          <t>Eliminated</t>
        </is>
      </c>
      <c r="W12" s="6" t="inlineStr">
        <is>
          <t>Treatment planned</t>
        </is>
      </c>
      <c r="X12" s="8" t="n">
        <v>46308</v>
      </c>
      <c r="Y12" s="8" t="n">
        <v>46309</v>
      </c>
      <c r="Z12" s="8">
        <f>Y12+30</f>
        <v/>
      </c>
      <c r="AA12" s="9" t="n"/>
    </row>
    <row r="13">
      <c r="A13" s="5" t="inlineStr">
        <is>
          <t>R08</t>
        </is>
      </c>
      <c r="B13" s="5" t="inlineStr">
        <is>
          <t>Consent phishing or rogue app via open tenant settings</t>
        </is>
      </c>
      <c r="C13" s="5" t="inlineStr">
        <is>
          <t>Entra ID tenant</t>
        </is>
      </c>
      <c r="D13" s="5" t="inlineStr">
        <is>
          <t>External attacker (T1528 Steal Application Access Token)</t>
        </is>
      </c>
      <c r="E13" s="5" t="inlineStr">
        <is>
          <t>V08: any user can register apps and create tenants; guest invites allowed from everyone</t>
        </is>
      </c>
      <c r="F13" s="5" t="inlineStr">
        <is>
          <t>Sabitha S Karanavar</t>
        </is>
      </c>
      <c r="G13" s="6" t="n">
        <v>3</v>
      </c>
      <c r="H13" s="6" t="n">
        <v>4</v>
      </c>
      <c r="I13" s="5">
        <f>G13*H13</f>
        <v/>
      </c>
      <c r="J13" s="5">
        <f>IF(I13&gt;=20,"Critical",IF(I13&gt;=12,"High",IF(I13&gt;=6,"Medium","Low")))</f>
        <v/>
      </c>
      <c r="K13" s="6" t="n">
        <v>3</v>
      </c>
      <c r="L13" s="6" t="n">
        <v>2</v>
      </c>
      <c r="M13" s="6" t="n">
        <v>4</v>
      </c>
      <c r="N13" s="6" t="n">
        <v>3</v>
      </c>
      <c r="O13" s="7">
        <f>K13*$AB$3+L13*$AC$3+M13*$AD$3+N13*$AE$3</f>
        <v/>
      </c>
      <c r="P13" s="7">
        <f>G13*O13</f>
        <v/>
      </c>
      <c r="Q13" s="5">
        <f>IF(AND(MAX(K13:N13)=5,G13&gt;=3,P13&lt;12),"High",IF(P13&gt;=20,"Critical",IF(P13&gt;=12,"High",IF(P13&gt;=6,"Medium","Low"))))</f>
        <v/>
      </c>
      <c r="R13" s="5" t="inlineStr">
        <is>
          <t>Mitigate</t>
        </is>
      </c>
      <c r="S13" s="5" t="inlineStr">
        <is>
          <t>C08</t>
        </is>
      </c>
      <c r="T13" s="5" t="inlineStr">
        <is>
          <t>K12 Amber, K13 Amber</t>
        </is>
      </c>
      <c r="U13" s="7" t="n">
        <v>2.97</v>
      </c>
      <c r="V13" s="5" t="inlineStr">
        <is>
          <t>Low</t>
        </is>
      </c>
      <c r="W13" s="6" t="inlineStr">
        <is>
          <t>Treatment planned</t>
        </is>
      </c>
      <c r="X13" s="8" t="n">
        <v>46308</v>
      </c>
      <c r="Y13" s="8" t="n">
        <v>46309</v>
      </c>
      <c r="Z13" s="8">
        <f>Y13+30</f>
        <v/>
      </c>
      <c r="AA13" s="9" t="n"/>
    </row>
    <row r="14">
      <c r="A14" s="5" t="inlineStr">
        <is>
          <t>R09</t>
        </is>
      </c>
      <c r="B14" s="5" t="inlineStr">
        <is>
          <t>Remote code execution via OpenSSH 6.6.1p1 (CVE-2023-38408, CVSS 9.8)</t>
        </is>
      </c>
      <c r="C14" s="5" t="inlineStr">
        <is>
          <t>Legacy public server (scanme.nmap.org lab target)</t>
        </is>
      </c>
      <c r="D14" s="5" t="inlineStr">
        <is>
          <t>External attacker (T1190 Exploit Public-Facing Application)</t>
        </is>
      </c>
      <c r="E14" s="5" t="inlineStr">
        <is>
          <t>V09: decade-old OpenSSH with ssh-agent forwarding flaw</t>
        </is>
      </c>
      <c r="F14" s="5" t="inlineStr">
        <is>
          <t>Kevin O'Brien</t>
        </is>
      </c>
      <c r="G14" s="6" t="n">
        <v>3</v>
      </c>
      <c r="H14" s="6" t="n">
        <v>5</v>
      </c>
      <c r="I14" s="5">
        <f>G14*H14</f>
        <v/>
      </c>
      <c r="J14" s="5">
        <f>IF(I14&gt;=20,"Critical",IF(I14&gt;=12,"High",IF(I14&gt;=6,"Medium","Low")))</f>
        <v/>
      </c>
      <c r="K14" s="6" t="n">
        <v>4</v>
      </c>
      <c r="L14" s="6" t="n">
        <v>3</v>
      </c>
      <c r="M14" s="6" t="n">
        <v>3</v>
      </c>
      <c r="N14" s="6" t="n">
        <v>3</v>
      </c>
      <c r="O14" s="7">
        <f>K14*$AB$3+L14*$AC$3+M14*$AD$3+N14*$AE$3</f>
        <v/>
      </c>
      <c r="P14" s="7">
        <f>G14*O14</f>
        <v/>
      </c>
      <c r="Q14" s="5">
        <f>IF(AND(MAX(K14:N14)=5,G14&gt;=3,P14&lt;12),"High",IF(P14&gt;=20,"Critical",IF(P14&gt;=12,"High",IF(P14&gt;=6,"Medium","Low"))))</f>
        <v/>
      </c>
      <c r="R14" s="5" t="inlineStr">
        <is>
          <t>Avoid</t>
        </is>
      </c>
      <c r="S14" s="5" t="inlineStr">
        <is>
          <t>C13</t>
        </is>
      </c>
      <c r="T14" s="5" t="inlineStr">
        <is>
          <t>manual</t>
        </is>
      </c>
      <c r="U14" s="7" t="n">
        <v>0</v>
      </c>
      <c r="V14" s="5" t="inlineStr">
        <is>
          <t>Eliminated</t>
        </is>
      </c>
      <c r="W14" s="6" t="inlineStr">
        <is>
          <t>Treatment planned</t>
        </is>
      </c>
      <c r="X14" s="8" t="n">
        <v>46273</v>
      </c>
      <c r="Y14" s="8" t="n">
        <v>46309</v>
      </c>
      <c r="Z14" s="8">
        <f>Y14+30</f>
        <v/>
      </c>
      <c r="AA14" s="9" t="n"/>
    </row>
    <row r="15">
      <c r="A15" s="5" t="inlineStr">
        <is>
          <t>R10</t>
        </is>
      </c>
      <c r="B15" s="5" t="inlineStr">
        <is>
          <t>Remote code execution via Apache 2.4.7 mod_lua (CVE-2021-44790, CVSS 9.8)</t>
        </is>
      </c>
      <c r="C15" s="5" t="inlineStr">
        <is>
          <t>Legacy public server (scanme.nmap.org lab target)</t>
        </is>
      </c>
      <c r="D15" s="5" t="inlineStr">
        <is>
          <t>External attacker (T1190)</t>
        </is>
      </c>
      <c r="E15" s="5" t="inlineStr">
        <is>
          <t>V10: Apache 2.4.7 with public exploits available</t>
        </is>
      </c>
      <c r="F15" s="5" t="inlineStr">
        <is>
          <t>Kevin O'Brien</t>
        </is>
      </c>
      <c r="G15" s="6" t="n">
        <v>4</v>
      </c>
      <c r="H15" s="6" t="n">
        <v>5</v>
      </c>
      <c r="I15" s="5">
        <f>G15*H15</f>
        <v/>
      </c>
      <c r="J15" s="5">
        <f>IF(I15&gt;=20,"Critical",IF(I15&gt;=12,"High",IF(I15&gt;=6,"Medium","Low")))</f>
        <v/>
      </c>
      <c r="K15" s="6" t="n">
        <v>4</v>
      </c>
      <c r="L15" s="6" t="n">
        <v>3</v>
      </c>
      <c r="M15" s="6" t="n">
        <v>3</v>
      </c>
      <c r="N15" s="6" t="n">
        <v>3</v>
      </c>
      <c r="O15" s="7">
        <f>K15*$AB$3+L15*$AC$3+M15*$AD$3+N15*$AE$3</f>
        <v/>
      </c>
      <c r="P15" s="7">
        <f>G15*O15</f>
        <v/>
      </c>
      <c r="Q15" s="5">
        <f>IF(AND(MAX(K15:N15)=5,G15&gt;=3,P15&lt;12),"High",IF(P15&gt;=20,"Critical",IF(P15&gt;=12,"High",IF(P15&gt;=6,"Medium","Low"))))</f>
        <v/>
      </c>
      <c r="R15" s="5" t="inlineStr">
        <is>
          <t>Avoid</t>
        </is>
      </c>
      <c r="S15" s="5" t="inlineStr">
        <is>
          <t>C13</t>
        </is>
      </c>
      <c r="T15" s="5" t="inlineStr">
        <is>
          <t>manual</t>
        </is>
      </c>
      <c r="U15" s="7" t="n">
        <v>0</v>
      </c>
      <c r="V15" s="5" t="inlineStr">
        <is>
          <t>Eliminated</t>
        </is>
      </c>
      <c r="W15" s="6" t="inlineStr">
        <is>
          <t>Treatment planned</t>
        </is>
      </c>
      <c r="X15" s="8" t="n">
        <v>46273</v>
      </c>
      <c r="Y15" s="8" t="n">
        <v>46309</v>
      </c>
      <c r="Z15" s="8">
        <f>Y15+30</f>
        <v/>
      </c>
      <c r="AA15" s="9" t="n"/>
    </row>
    <row r="16">
      <c r="A16" s="5" t="inlineStr">
        <is>
          <t>R11</t>
        </is>
      </c>
      <c r="B16" s="5" t="inlineStr">
        <is>
          <t>Malware uploaded to EHR storage is not detected</t>
        </is>
      </c>
      <c r="C16" s="5" t="inlineStr">
        <is>
          <t>hvmcehrstorage (ePHI)</t>
        </is>
      </c>
      <c r="D16" s="5" t="inlineStr">
        <is>
          <t>External attacker / infected workstation (T1105 Ingress Tool Transfer)</t>
        </is>
      </c>
      <c r="E16" s="5" t="inlineStr">
        <is>
          <t>V11: all Defender for Cloud workload plans on Free tier; 0 security contacts configured</t>
        </is>
      </c>
      <c r="F16" s="5" t="inlineStr">
        <is>
          <t>Denise Coleman</t>
        </is>
      </c>
      <c r="G16" s="6" t="n">
        <v>3</v>
      </c>
      <c r="H16" s="6" t="n">
        <v>4</v>
      </c>
      <c r="I16" s="5">
        <f>G16*H16</f>
        <v/>
      </c>
      <c r="J16" s="5">
        <f>IF(I16&gt;=20,"Critical",IF(I16&gt;=12,"High",IF(I16&gt;=6,"Medium","Low")))</f>
        <v/>
      </c>
      <c r="K16" s="6" t="n">
        <v>3</v>
      </c>
      <c r="L16" s="6" t="n">
        <v>4</v>
      </c>
      <c r="M16" s="6" t="n">
        <v>3</v>
      </c>
      <c r="N16" s="6" t="n">
        <v>3</v>
      </c>
      <c r="O16" s="7">
        <f>K16*$AB$3+L16*$AC$3+M16*$AD$3+N16*$AE$3</f>
        <v/>
      </c>
      <c r="P16" s="7">
        <f>G16*O16</f>
        <v/>
      </c>
      <c r="Q16" s="5">
        <f>IF(AND(MAX(K16:N16)=5,G16&gt;=3,P16&lt;12),"High",IF(P16&gt;=20,"Critical",IF(P16&gt;=12,"High",IF(P16&gt;=6,"Medium","Low"))))</f>
        <v/>
      </c>
      <c r="R16" s="5" t="inlineStr">
        <is>
          <t>Mitigate</t>
        </is>
      </c>
      <c r="S16" s="5" t="inlineStr">
        <is>
          <t>C06</t>
        </is>
      </c>
      <c r="T16" s="5" t="inlineStr">
        <is>
          <t>K10 Amber, K11 Amber</t>
        </is>
      </c>
      <c r="U16" s="7" t="n">
        <v>5.28</v>
      </c>
      <c r="V16" s="5" t="inlineStr">
        <is>
          <t>Low</t>
        </is>
      </c>
      <c r="W16" s="6" t="inlineStr">
        <is>
          <t>Treatment planned</t>
        </is>
      </c>
      <c r="X16" s="8" t="n">
        <v>46308</v>
      </c>
      <c r="Y16" s="8" t="n">
        <v>46309</v>
      </c>
      <c r="Z16" s="8">
        <f>Y16+30</f>
        <v/>
      </c>
      <c r="AA16" s="9" t="n"/>
    </row>
    <row r="17">
      <c r="A17" s="5" t="inlineStr">
        <is>
          <t>R12</t>
        </is>
      </c>
      <c r="B17" s="5" t="inlineStr">
        <is>
          <t>Clinician credentials stolen by MFA-bypass (AiTM) phishing</t>
        </is>
      </c>
      <c r="C17" s="5" t="inlineStr">
        <is>
          <t>EHR access (Doctors/Nursing groups)</t>
        </is>
      </c>
      <c r="D17" s="5" t="inlineStr">
        <is>
          <t>Phishing operator (T1566 Phishing, T1557 Adversary-in-the-Middle)</t>
        </is>
      </c>
      <c r="E17" s="5" t="inlineStr">
        <is>
          <t>V12: security defaults allow push/OTP MFA; no Conditional Access or phishing-resistant MFA</t>
        </is>
      </c>
      <c r="F17" s="5" t="inlineStr">
        <is>
          <t>Denise Coleman</t>
        </is>
      </c>
      <c r="G17" s="6" t="n">
        <v>3</v>
      </c>
      <c r="H17" s="6" t="n">
        <v>4</v>
      </c>
      <c r="I17" s="5">
        <f>G17*H17</f>
        <v/>
      </c>
      <c r="J17" s="5">
        <f>IF(I17&gt;=20,"Critical",IF(I17&gt;=12,"High",IF(I17&gt;=6,"Medium","Low")))</f>
        <v/>
      </c>
      <c r="K17" s="6" t="n">
        <v>3</v>
      </c>
      <c r="L17" s="6" t="n">
        <v>2</v>
      </c>
      <c r="M17" s="6" t="n">
        <v>4</v>
      </c>
      <c r="N17" s="6" t="n">
        <v>3</v>
      </c>
      <c r="O17" s="7">
        <f>K17*$AB$3+L17*$AC$3+M17*$AD$3+N17*$AE$3</f>
        <v/>
      </c>
      <c r="P17" s="7">
        <f>G17*O17</f>
        <v/>
      </c>
      <c r="Q17" s="5">
        <f>IF(AND(MAX(K17:N17)=5,G17&gt;=3,P17&lt;12),"High",IF(P17&gt;=20,"Critical",IF(P17&gt;=12,"High",IF(P17&gt;=6,"Medium","Low"))))</f>
        <v/>
      </c>
      <c r="R17" s="5" t="inlineStr">
        <is>
          <t>Mitigate</t>
        </is>
      </c>
      <c r="S17" s="5" t="inlineStr">
        <is>
          <t>C07</t>
        </is>
      </c>
      <c r="T17" s="5" t="inlineStr">
        <is>
          <t>manual</t>
        </is>
      </c>
      <c r="U17" s="7" t="n">
        <v>2.97</v>
      </c>
      <c r="V17" s="5" t="inlineStr">
        <is>
          <t>Low</t>
        </is>
      </c>
      <c r="W17" s="6" t="inlineStr">
        <is>
          <t>Treatment planned</t>
        </is>
      </c>
      <c r="X17" s="8" t="n">
        <v>46308</v>
      </c>
      <c r="Y17" s="8" t="n">
        <v>46309</v>
      </c>
      <c r="Z17" s="8">
        <f>Y17+30</f>
        <v/>
      </c>
      <c r="AA17" s="9" t="n">
        <v>168180.145</v>
      </c>
    </row>
    <row r="18">
      <c r="A18" s="5" t="inlineStr">
        <is>
          <t>R13</t>
        </is>
      </c>
      <c r="B18" s="5" t="inlineStr">
        <is>
          <t>Workforce member views patient records without a care need (snooping)</t>
        </is>
      </c>
      <c r="C18" s="5" t="inlineStr">
        <is>
          <t>EHR (12 clinical users with RW)</t>
        </is>
      </c>
      <c r="D18" s="5" t="inlineStr">
        <is>
          <t>Curious or malicious insider</t>
        </is>
      </c>
      <c r="E18" s="5" t="inlineStr">
        <is>
          <t>V13: no record-level access auditing or monthly access-log review</t>
        </is>
      </c>
      <c r="F18" s="5" t="inlineStr">
        <is>
          <t>Denise Coleman</t>
        </is>
      </c>
      <c r="G18" s="6" t="n">
        <v>3</v>
      </c>
      <c r="H18" s="6" t="n">
        <v>4</v>
      </c>
      <c r="I18" s="5">
        <f>G18*H18</f>
        <v/>
      </c>
      <c r="J18" s="5">
        <f>IF(I18&gt;=20,"Critical",IF(I18&gt;=12,"High",IF(I18&gt;=6,"Medium","Low")))</f>
        <v/>
      </c>
      <c r="K18" s="6" t="n">
        <v>2</v>
      </c>
      <c r="L18" s="6" t="n">
        <v>1</v>
      </c>
      <c r="M18" s="6" t="n">
        <v>4</v>
      </c>
      <c r="N18" s="6" t="n">
        <v>4</v>
      </c>
      <c r="O18" s="7">
        <f>K18*$AB$3+L18*$AC$3+M18*$AD$3+N18*$AE$3</f>
        <v/>
      </c>
      <c r="P18" s="7">
        <f>G18*O18</f>
        <v/>
      </c>
      <c r="Q18" s="5">
        <f>IF(AND(MAX(K18:N18)=5,G18&gt;=3,P18&lt;12),"High",IF(P18&gt;=20,"Critical",IF(P18&gt;=12,"High",IF(P18&gt;=6,"Medium","Low"))))</f>
        <v/>
      </c>
      <c r="R18" s="5" t="inlineStr">
        <is>
          <t>Mitigate</t>
        </is>
      </c>
      <c r="S18" s="5" t="inlineStr">
        <is>
          <t>C09</t>
        </is>
      </c>
      <c r="T18" s="5" t="inlineStr">
        <is>
          <t>manual</t>
        </is>
      </c>
      <c r="U18" s="7" t="n">
        <v>4.84</v>
      </c>
      <c r="V18" s="5" t="inlineStr">
        <is>
          <t>Low</t>
        </is>
      </c>
      <c r="W18" s="6" t="inlineStr">
        <is>
          <t>Treatment planned</t>
        </is>
      </c>
      <c r="X18" s="8" t="n">
        <v>46308</v>
      </c>
      <c r="Y18" s="8" t="n">
        <v>46309</v>
      </c>
      <c r="Z18" s="8">
        <f>Y18+30</f>
        <v/>
      </c>
      <c r="AA18" s="9" t="n">
        <v>74960.2932</v>
      </c>
    </row>
    <row r="19">
      <c r="A19" s="5" t="inlineStr">
        <is>
          <t>R14</t>
        </is>
      </c>
      <c r="B19" s="5" t="inlineStr">
        <is>
          <t>Workforce violations go unpunished; training not tracked</t>
        </is>
      </c>
      <c r="C19" s="5" t="inlineStr">
        <is>
          <t>Workforce</t>
        </is>
      </c>
      <c r="D19" s="5" t="inlineStr">
        <is>
          <t>Negligent insider</t>
        </is>
      </c>
      <c r="E19" s="5" t="inlineStr">
        <is>
          <t>V14: no sanction policy; HIPAA training completion not recorded</t>
        </is>
      </c>
      <c r="F19" s="5" t="inlineStr">
        <is>
          <t>Daniel Osei</t>
        </is>
      </c>
      <c r="G19" s="6" t="n">
        <v>2</v>
      </c>
      <c r="H19" s="6" t="n">
        <v>4</v>
      </c>
      <c r="I19" s="5">
        <f>G19*H19</f>
        <v/>
      </c>
      <c r="J19" s="5">
        <f>IF(I19&gt;=20,"Critical",IF(I19&gt;=12,"High",IF(I19&gt;=6,"Medium","Low")))</f>
        <v/>
      </c>
      <c r="K19" s="6" t="n">
        <v>2</v>
      </c>
      <c r="L19" s="6" t="n">
        <v>1</v>
      </c>
      <c r="M19" s="6" t="n">
        <v>3</v>
      </c>
      <c r="N19" s="6" t="n">
        <v>2</v>
      </c>
      <c r="O19" s="7">
        <f>K19*$AB$3+L19*$AC$3+M19*$AD$3+N19*$AE$3</f>
        <v/>
      </c>
      <c r="P19" s="7">
        <f>G19*O19</f>
        <v/>
      </c>
      <c r="Q19" s="5">
        <f>IF(AND(MAX(K19:N19)=5,G19&gt;=3,P19&lt;12),"High",IF(P19&gt;=20,"Critical",IF(P19&gt;=12,"High",IF(P19&gt;=6,"Medium","Low"))))</f>
        <v/>
      </c>
      <c r="R19" s="5" t="inlineStr">
        <is>
          <t>Mitigate</t>
        </is>
      </c>
      <c r="S19" s="5" t="inlineStr">
        <is>
          <t>C10</t>
        </is>
      </c>
      <c r="T19" s="5" t="inlineStr">
        <is>
          <t>manual</t>
        </is>
      </c>
      <c r="U19" s="7" t="n">
        <v>1.97</v>
      </c>
      <c r="V19" s="5" t="inlineStr">
        <is>
          <t>Low</t>
        </is>
      </c>
      <c r="W19" s="6" t="inlineStr">
        <is>
          <t>Treatment planned</t>
        </is>
      </c>
      <c r="X19" s="8" t="n">
        <v>46308</v>
      </c>
      <c r="Y19" s="8" t="n">
        <v>46309</v>
      </c>
      <c r="Z19" s="8">
        <f>Y19+30</f>
        <v/>
      </c>
      <c r="AA19" s="9" t="n"/>
    </row>
    <row r="20">
      <c r="A20" s="5" t="inlineStr">
        <is>
          <t>R15</t>
        </is>
      </c>
      <c r="B20" s="5" t="inlineStr">
        <is>
          <t>Accidental deletion of production network or storage</t>
        </is>
      </c>
      <c r="C20" s="5" t="inlineStr">
        <is>
          <t>HVMC-CloudSecurity-RG</t>
        </is>
      </c>
      <c r="D20" s="5" t="inlineStr">
        <is>
          <t>Administrator error</t>
        </is>
      </c>
      <c r="E20" s="5" t="inlineStr">
        <is>
          <t>V15: 0 resource locks on the production resource group</t>
        </is>
      </c>
      <c r="F20" s="5" t="inlineStr">
        <is>
          <t>Kevin O'Brien</t>
        </is>
      </c>
      <c r="G20" s="6" t="n">
        <v>2</v>
      </c>
      <c r="H20" s="6" t="n">
        <v>4</v>
      </c>
      <c r="I20" s="5">
        <f>G20*H20</f>
        <v/>
      </c>
      <c r="J20" s="5">
        <f>IF(I20&gt;=20,"Critical",IF(I20&gt;=12,"High",IF(I20&gt;=6,"Medium","Low")))</f>
        <v/>
      </c>
      <c r="K20" s="6" t="n">
        <v>3</v>
      </c>
      <c r="L20" s="6" t="n">
        <v>4</v>
      </c>
      <c r="M20" s="6" t="n">
        <v>2</v>
      </c>
      <c r="N20" s="6" t="n">
        <v>2</v>
      </c>
      <c r="O20" s="7">
        <f>K20*$AB$3+L20*$AC$3+M20*$AD$3+N20*$AE$3</f>
        <v/>
      </c>
      <c r="P20" s="7">
        <f>G20*O20</f>
        <v/>
      </c>
      <c r="Q20" s="5">
        <f>IF(AND(MAX(K20:N20)=5,G20&gt;=3,P20&lt;12),"High",IF(P20&gt;=20,"Critical",IF(P20&gt;=12,"High",IF(P20&gt;=6,"Medium","Low"))))</f>
        <v/>
      </c>
      <c r="R20" s="5" t="inlineStr">
        <is>
          <t>Accept</t>
        </is>
      </c>
      <c r="S20" s="5" t="inlineStr">
        <is>
          <t>A01</t>
        </is>
      </c>
      <c r="T20" s="5" t="inlineStr">
        <is>
          <t>K15 Amber</t>
        </is>
      </c>
      <c r="U20" s="7" t="n">
        <v>5.82</v>
      </c>
      <c r="V20" s="5" t="inlineStr">
        <is>
          <t>Low</t>
        </is>
      </c>
      <c r="W20" s="6" t="inlineStr">
        <is>
          <t>Treatment planned</t>
        </is>
      </c>
      <c r="X20" s="8" t="n">
        <v>46308</v>
      </c>
      <c r="Y20" s="8" t="n">
        <v>46309</v>
      </c>
      <c r="Z20" s="8">
        <f>Y20+30</f>
        <v/>
      </c>
      <c r="AA20" s="9" t="n"/>
    </row>
    <row r="21">
      <c r="A21" s="5" t="inlineStr">
        <is>
          <t>R16</t>
        </is>
      </c>
      <c r="B21" s="5" t="inlineStr">
        <is>
          <t>Breach notification deadline missed (no Privacy Officer)</t>
        </is>
      </c>
      <c r="C21" s="5" t="inlineStr">
        <is>
          <t>Regulatory compliance</t>
        </is>
      </c>
      <c r="D21" s="5" t="inlineStr">
        <is>
          <t>Process failure</t>
        </is>
      </c>
      <c r="E21" s="5" t="inlineStr">
        <is>
          <t>V16: Privacy Officer role vacant</t>
        </is>
      </c>
      <c r="F21" s="5" t="inlineStr">
        <is>
          <t>Denise Coleman</t>
        </is>
      </c>
      <c r="G21" s="6" t="n">
        <v>2</v>
      </c>
      <c r="H21" s="6" t="n">
        <v>4</v>
      </c>
      <c r="I21" s="5">
        <f>G21*H21</f>
        <v/>
      </c>
      <c r="J21" s="5">
        <f>IF(I21&gt;=20,"Critical",IF(I21&gt;=12,"High",IF(I21&gt;=6,"Medium","Low")))</f>
        <v/>
      </c>
      <c r="K21" s="6" t="n">
        <v>3</v>
      </c>
      <c r="L21" s="6" t="n">
        <v>1</v>
      </c>
      <c r="M21" s="6" t="n">
        <v>5</v>
      </c>
      <c r="N21" s="6" t="n">
        <v>4</v>
      </c>
      <c r="O21" s="7">
        <f>K21*$AB$3+L21*$AC$3+M21*$AD$3+N21*$AE$3</f>
        <v/>
      </c>
      <c r="P21" s="7">
        <f>G21*O21</f>
        <v/>
      </c>
      <c r="Q21" s="5">
        <f>IF(AND(MAX(K21:N21)=5,G21&gt;=3,P21&lt;12),"High",IF(P21&gt;=20,"Critical",IF(P21&gt;=12,"High",IF(P21&gt;=6,"Medium","Low"))))</f>
        <v/>
      </c>
      <c r="R21" s="5" t="inlineStr">
        <is>
          <t>Mitigate</t>
        </is>
      </c>
      <c r="S21" s="5" t="inlineStr">
        <is>
          <t>C11</t>
        </is>
      </c>
      <c r="T21" s="5" t="inlineStr">
        <is>
          <t>manual</t>
        </is>
      </c>
      <c r="U21" s="7" t="n">
        <v>2.73</v>
      </c>
      <c r="V21" s="5" t="inlineStr">
        <is>
          <t>Low</t>
        </is>
      </c>
      <c r="W21" s="6" t="inlineStr">
        <is>
          <t>Treatment planned</t>
        </is>
      </c>
      <c r="X21" s="8" t="n">
        <v>46308</v>
      </c>
      <c r="Y21" s="8" t="n">
        <v>46309</v>
      </c>
      <c r="Z21" s="8">
        <f>Y21+30</f>
        <v/>
      </c>
      <c r="AA21" s="9" t="n"/>
    </row>
  </sheetData>
  <autoFilter ref="A5:AA21"/>
  <conditionalFormatting sqref="J6:J21">
    <cfRule type="expression" priority="1" dxfId="0">
      <formula>J6="Critical"</formula>
    </cfRule>
    <cfRule type="expression" priority="2" dxfId="1">
      <formula>J6="High"</formula>
    </cfRule>
    <cfRule type="expression" priority="3" dxfId="2">
      <formula>J6="Medium"</formula>
    </cfRule>
    <cfRule type="expression" priority="4" dxfId="3">
      <formula>J6="Low"</formula>
    </cfRule>
    <cfRule type="expression" priority="5" dxfId="4">
      <formula>J6="Eliminated"</formula>
    </cfRule>
  </conditionalFormatting>
  <conditionalFormatting sqref="Q6:Q21">
    <cfRule type="expression" priority="6" dxfId="0">
      <formula>Q6="Critical"</formula>
    </cfRule>
    <cfRule type="expression" priority="7" dxfId="1">
      <formula>Q6="High"</formula>
    </cfRule>
    <cfRule type="expression" priority="8" dxfId="2">
      <formula>Q6="Medium"</formula>
    </cfRule>
    <cfRule type="expression" priority="9" dxfId="3">
      <formula>Q6="Low"</formula>
    </cfRule>
    <cfRule type="expression" priority="10" dxfId="4">
      <formula>Q6="Eliminated"</formula>
    </cfRule>
  </conditionalFormatting>
  <conditionalFormatting sqref="V6:V21">
    <cfRule type="expression" priority="11" dxfId="0">
      <formula>V6="Critical"</formula>
    </cfRule>
    <cfRule type="expression" priority="12" dxfId="1">
      <formula>V6="High"</formula>
    </cfRule>
    <cfRule type="expression" priority="13" dxfId="2">
      <formula>V6="Medium"</formula>
    </cfRule>
    <cfRule type="expression" priority="14" dxfId="3">
      <formula>V6="Low"</formula>
    </cfRule>
    <cfRule type="expression" priority="15" dxfId="4">
      <formula>V6="Eliminated"</formula>
    </cfRule>
  </conditionalFormatting>
  <dataValidations count="1">
    <dataValidation sqref="W6:W71" showDropDown="0" showInputMessage="0" showErrorMessage="0" allowBlank="0" type="list">
      <formula1>"Identified,Treatment planned,In progress,Mitigated,Accepted,Transferred,Eliminated,Closed"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6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22" customWidth="1" min="4" max="4"/>
    <col width="22" customWidth="1" min="5" max="5"/>
    <col width="20" customWidth="1" min="6" max="6"/>
    <col width="80" customWidth="1" min="7" max="7"/>
  </cols>
  <sheetData>
    <row r="1">
      <c r="A1" s="1" t="inlineStr">
        <is>
          <t>Risk register history — append-only</t>
        </is>
      </c>
    </row>
    <row r="2">
      <c r="A2" s="2" t="inlineStr">
        <is>
          <t>Every new risk, re-score, treatment and status change. Never edit past rows; add new ones.</t>
        </is>
      </c>
    </row>
    <row r="4" ht="32" customHeight="1">
      <c r="A4" s="4" t="inlineStr">
        <is>
          <t>Date</t>
        </is>
      </c>
      <c r="B4" s="4" t="inlineStr">
        <is>
          <t>Risk</t>
        </is>
      </c>
      <c r="C4" s="4" t="inlineStr">
        <is>
          <t>Event</t>
        </is>
      </c>
      <c r="D4" s="4" t="inlineStr">
        <is>
          <t>Old value</t>
        </is>
      </c>
      <c r="E4" s="4" t="inlineStr">
        <is>
          <t>New value</t>
        </is>
      </c>
      <c r="F4" s="4" t="inlineStr">
        <is>
          <t>Changed by</t>
        </is>
      </c>
      <c r="G4" s="4" t="inlineStr">
        <is>
          <t>Reason / evidence</t>
        </is>
      </c>
    </row>
    <row r="5">
      <c r="A5" s="8" t="n">
        <v>46273</v>
      </c>
      <c r="B5" s="5" t="inlineStr">
        <is>
          <t>R09</t>
        </is>
      </c>
      <c r="C5" s="5" t="inlineStr">
        <is>
          <t>Opened</t>
        </is>
      </c>
      <c r="D5" s="5" t="inlineStr"/>
      <c r="E5" s="5" t="inlineStr">
        <is>
          <t>Critical (legacy)</t>
        </is>
      </c>
      <c r="F5" s="5" t="inlineStr">
        <is>
          <t>Sabitha S Karanavar</t>
        </is>
      </c>
      <c r="G5" s="5" t="inlineStr">
        <is>
          <t>Identified in Apply Vulnerability Assessment Techniques scan; rated with Sept impact-floor method</t>
        </is>
      </c>
    </row>
    <row r="6">
      <c r="A6" s="8" t="n">
        <v>46273</v>
      </c>
      <c r="B6" s="5" t="inlineStr">
        <is>
          <t>R10</t>
        </is>
      </c>
      <c r="C6" s="5" t="inlineStr">
        <is>
          <t>Opened</t>
        </is>
      </c>
      <c r="D6" s="5" t="inlineStr"/>
      <c r="E6" s="5" t="inlineStr">
        <is>
          <t>Critical (legacy)</t>
        </is>
      </c>
      <c r="F6" s="5" t="inlineStr">
        <is>
          <t>Sabitha S Karanavar</t>
        </is>
      </c>
      <c r="G6" s="5" t="inlineStr">
        <is>
          <t>Identified in Apply Vulnerability Assessment Techniques scan; rated with Sept impact-floor method</t>
        </is>
      </c>
    </row>
    <row r="7">
      <c r="A7" s="8" t="n">
        <v>46308</v>
      </c>
      <c r="B7" s="5" t="inlineStr">
        <is>
          <t>R01</t>
        </is>
      </c>
      <c r="C7" s="5" t="inlineStr">
        <is>
          <t>Opened</t>
        </is>
      </c>
      <c r="D7" s="5" t="inlineStr"/>
      <c r="E7" s="5" t="inlineStr">
        <is>
          <t>20</t>
        </is>
      </c>
      <c r="F7" s="5" t="inlineStr">
        <is>
          <t>Sabitha S Karanavar</t>
        </is>
      </c>
      <c r="G7" s="5" t="inlineStr">
        <is>
          <t>HIPAA matrix gap G1 (audit controls)</t>
        </is>
      </c>
    </row>
    <row r="8">
      <c r="A8" s="8" t="n">
        <v>46308</v>
      </c>
      <c r="B8" s="5" t="inlineStr">
        <is>
          <t>R02</t>
        </is>
      </c>
      <c r="C8" s="5" t="inlineStr">
        <is>
          <t>Opened</t>
        </is>
      </c>
      <c r="D8" s="5" t="inlineStr"/>
      <c r="E8" s="5" t="inlineStr">
        <is>
          <t>15</t>
        </is>
      </c>
      <c r="F8" s="5" t="inlineStr">
        <is>
          <t>Sabitha S Karanavar</t>
        </is>
      </c>
      <c r="G8" s="5" t="inlineStr">
        <is>
          <t>HIPAA matrix gap G2 (storage public access)</t>
        </is>
      </c>
    </row>
    <row r="9">
      <c r="A9" s="8" t="n">
        <v>46308</v>
      </c>
      <c r="B9" s="5" t="inlineStr">
        <is>
          <t>R03</t>
        </is>
      </c>
      <c r="C9" s="5" t="inlineStr">
        <is>
          <t>Opened</t>
        </is>
      </c>
      <c r="D9" s="5" t="inlineStr"/>
      <c r="E9" s="5" t="inlineStr">
        <is>
          <t>15</t>
        </is>
      </c>
      <c r="F9" s="5" t="inlineStr">
        <is>
          <t>Sabitha S Karanavar</t>
        </is>
      </c>
      <c r="G9" s="5" t="inlineStr">
        <is>
          <t>HIPAA matrix gap G3 (Data NSG)</t>
        </is>
      </c>
    </row>
    <row r="10">
      <c r="A10" s="8" t="n">
        <v>46308</v>
      </c>
      <c r="B10" s="5" t="inlineStr">
        <is>
          <t>R04</t>
        </is>
      </c>
      <c r="C10" s="5" t="inlineStr">
        <is>
          <t>Opened</t>
        </is>
      </c>
      <c r="D10" s="5" t="inlineStr"/>
      <c r="E10" s="5" t="inlineStr">
        <is>
          <t>12</t>
        </is>
      </c>
      <c r="F10" s="5" t="inlineStr">
        <is>
          <t>Sabitha S Karanavar</t>
        </is>
      </c>
      <c r="G10" s="5" t="inlineStr">
        <is>
          <t>HIPAA matrix gap G4 (single Global Admin)</t>
        </is>
      </c>
    </row>
    <row r="11">
      <c r="A11" s="8" t="n">
        <v>46308</v>
      </c>
      <c r="B11" s="5" t="inlineStr">
        <is>
          <t>R05</t>
        </is>
      </c>
      <c r="C11" s="5" t="inlineStr">
        <is>
          <t>Opened</t>
        </is>
      </c>
      <c r="D11" s="5" t="inlineStr"/>
      <c r="E11" s="5" t="inlineStr">
        <is>
          <t>8</t>
        </is>
      </c>
      <c r="F11" s="5" t="inlineStr">
        <is>
          <t>Sabitha S Karanavar</t>
        </is>
      </c>
      <c r="G11" s="5" t="inlineStr">
        <is>
          <t>HIPAA matrix gap G8 (versioning off, DR untested)</t>
        </is>
      </c>
    </row>
    <row r="12">
      <c r="A12" s="8" t="n">
        <v>46308</v>
      </c>
      <c r="B12" s="5" t="inlineStr">
        <is>
          <t>R05</t>
        </is>
      </c>
      <c r="C12" s="5" t="inlineStr">
        <is>
          <t>Re-scored</t>
        </is>
      </c>
      <c r="D12" s="5" t="inlineStr">
        <is>
          <t>8</t>
        </is>
      </c>
      <c r="E12" s="5" t="inlineStr">
        <is>
          <t>15</t>
        </is>
      </c>
      <c r="F12" s="5" t="inlineStr">
        <is>
          <t>Anthony Ruiz</t>
        </is>
      </c>
      <c r="G12" s="5" t="inlineStr">
        <is>
          <t>Threat assessment: ransomware is the leading healthcare threat (L2→3) and EHR loss is patient-safety impact (I4→5).</t>
        </is>
      </c>
    </row>
    <row r="13">
      <c r="A13" s="8" t="n">
        <v>46308</v>
      </c>
      <c r="B13" s="5" t="inlineStr">
        <is>
          <t>R06</t>
        </is>
      </c>
      <c r="C13" s="5" t="inlineStr">
        <is>
          <t>Opened</t>
        </is>
      </c>
      <c r="D13" s="5" t="inlineStr"/>
      <c r="E13" s="5" t="inlineStr">
        <is>
          <t>8</t>
        </is>
      </c>
      <c r="F13" s="5" t="inlineStr">
        <is>
          <t>Sabitha S Karanavar</t>
        </is>
      </c>
      <c r="G13" s="5" t="inlineStr">
        <is>
          <t>HIPAA matrix gap G6 (contractor)</t>
        </is>
      </c>
    </row>
    <row r="14">
      <c r="A14" s="8" t="n">
        <v>46308</v>
      </c>
      <c r="B14" s="5" t="inlineStr">
        <is>
          <t>R07</t>
        </is>
      </c>
      <c r="C14" s="5" t="inlineStr">
        <is>
          <t>Opened</t>
        </is>
      </c>
      <c r="D14" s="5" t="inlineStr"/>
      <c r="E14" s="5" t="inlineStr">
        <is>
          <t>6</t>
        </is>
      </c>
      <c r="F14" s="5" t="inlineStr">
        <is>
          <t>Sabitha S Karanavar</t>
        </is>
      </c>
      <c r="G14" s="5" t="inlineStr">
        <is>
          <t>HIPAA matrix gap G7 (test account)</t>
        </is>
      </c>
    </row>
    <row r="15">
      <c r="A15" s="8" t="n">
        <v>46308</v>
      </c>
      <c r="B15" s="5" t="inlineStr">
        <is>
          <t>R08</t>
        </is>
      </c>
      <c r="C15" s="5" t="inlineStr">
        <is>
          <t>Opened</t>
        </is>
      </c>
      <c r="D15" s="5" t="inlineStr"/>
      <c r="E15" s="5" t="inlineStr">
        <is>
          <t>12</t>
        </is>
      </c>
      <c r="F15" s="5" t="inlineStr">
        <is>
          <t>Anthony Ruiz</t>
        </is>
      </c>
      <c r="G15" s="5" t="inlineStr">
        <is>
          <t>CIS checklist: open app registration and guest invites</t>
        </is>
      </c>
    </row>
    <row r="16">
      <c r="A16" s="8" t="n">
        <v>46308</v>
      </c>
      <c r="B16" s="5" t="inlineStr">
        <is>
          <t>R09</t>
        </is>
      </c>
      <c r="C16" s="5" t="inlineStr">
        <is>
          <t>Re-scored</t>
        </is>
      </c>
      <c r="D16" s="5" t="inlineStr">
        <is>
          <t>Critical (legacy)</t>
        </is>
      </c>
      <c r="E16" s="5" t="inlineStr">
        <is>
          <t>15</t>
        </is>
      </c>
      <c r="F16" s="5" t="inlineStr">
        <is>
          <t>Anthony Ruiz</t>
        </is>
      </c>
      <c r="G16" s="5" t="inlineStr">
        <is>
          <t>Converted to HVMC 5×5 scale (L3×I5). Likelihood Medium → 3.</t>
        </is>
      </c>
    </row>
    <row r="17">
      <c r="A17" s="8" t="n">
        <v>46308</v>
      </c>
      <c r="B17" s="5" t="inlineStr">
        <is>
          <t>R10</t>
        </is>
      </c>
      <c r="C17" s="5" t="inlineStr">
        <is>
          <t>Re-scored</t>
        </is>
      </c>
      <c r="D17" s="5" t="inlineStr">
        <is>
          <t>Critical (legacy)</t>
        </is>
      </c>
      <c r="E17" s="5" t="inlineStr">
        <is>
          <t>20</t>
        </is>
      </c>
      <c r="F17" s="5" t="inlineStr">
        <is>
          <t>Anthony Ruiz</t>
        </is>
      </c>
      <c r="G17" s="5" t="inlineStr">
        <is>
          <t>Converted to HVMC 5×5 scale (L4×I5). Public exploit code raises likelihood to 4.</t>
        </is>
      </c>
    </row>
    <row r="18">
      <c r="A18" s="8" t="n">
        <v>46308</v>
      </c>
      <c r="B18" s="5" t="inlineStr">
        <is>
          <t>R11</t>
        </is>
      </c>
      <c r="C18" s="5" t="inlineStr">
        <is>
          <t>Opened</t>
        </is>
      </c>
      <c r="D18" s="5" t="inlineStr"/>
      <c r="E18" s="5" t="inlineStr">
        <is>
          <t>12</t>
        </is>
      </c>
      <c r="F18" s="5" t="inlineStr">
        <is>
          <t>Anthony Ruiz</t>
        </is>
      </c>
      <c r="G18" s="5" t="inlineStr">
        <is>
          <t>CIS checklist: Defender plans Free, no security contact</t>
        </is>
      </c>
    </row>
    <row r="19">
      <c r="A19" s="8" t="n">
        <v>46308</v>
      </c>
      <c r="B19" s="5" t="inlineStr">
        <is>
          <t>R12</t>
        </is>
      </c>
      <c r="C19" s="5" t="inlineStr">
        <is>
          <t>Opened</t>
        </is>
      </c>
      <c r="D19" s="5" t="inlineStr"/>
      <c r="E19" s="5" t="inlineStr">
        <is>
          <t>12</t>
        </is>
      </c>
      <c r="F19" s="5" t="inlineStr">
        <is>
          <t>Anthony Ruiz</t>
        </is>
      </c>
      <c r="G19" s="5" t="inlineStr">
        <is>
          <t>Brainstorming + SWOT: AiTM phishing of clinicians</t>
        </is>
      </c>
    </row>
    <row r="20">
      <c r="A20" s="8" t="n">
        <v>46308</v>
      </c>
      <c r="B20" s="5" t="inlineStr">
        <is>
          <t>R13</t>
        </is>
      </c>
      <c r="C20" s="5" t="inlineStr">
        <is>
          <t>Opened</t>
        </is>
      </c>
      <c r="D20" s="5" t="inlineStr"/>
      <c r="E20" s="5" t="inlineStr">
        <is>
          <t>12</t>
        </is>
      </c>
      <c r="F20" s="5" t="inlineStr">
        <is>
          <t>Anthony Ruiz</t>
        </is>
      </c>
      <c r="G20" s="5" t="inlineStr">
        <is>
          <t>Brainstorming: insider snooping on patient records</t>
        </is>
      </c>
    </row>
    <row r="21">
      <c r="A21" s="8" t="n">
        <v>46308</v>
      </c>
      <c r="B21" s="5" t="inlineStr">
        <is>
          <t>R14</t>
        </is>
      </c>
      <c r="C21" s="5" t="inlineStr">
        <is>
          <t>Opened</t>
        </is>
      </c>
      <c r="D21" s="5" t="inlineStr"/>
      <c r="E21" s="5" t="inlineStr">
        <is>
          <t>8</t>
        </is>
      </c>
      <c r="F21" s="5" t="inlineStr">
        <is>
          <t>Sabitha S Karanavar</t>
        </is>
      </c>
      <c r="G21" s="5" t="inlineStr">
        <is>
          <t>HIPAA matrix gap G5 (sanction policy)</t>
        </is>
      </c>
    </row>
    <row r="22">
      <c r="A22" s="8" t="n">
        <v>46308</v>
      </c>
      <c r="B22" s="5" t="inlineStr">
        <is>
          <t>R15</t>
        </is>
      </c>
      <c r="C22" s="5" t="inlineStr">
        <is>
          <t>Opened</t>
        </is>
      </c>
      <c r="D22" s="5" t="inlineStr"/>
      <c r="E22" s="5" t="inlineStr">
        <is>
          <t>8</t>
        </is>
      </c>
      <c r="F22" s="5" t="inlineStr">
        <is>
          <t>Anthony Ruiz</t>
        </is>
      </c>
      <c r="G22" s="5" t="inlineStr">
        <is>
          <t>CIS checklist: no resource locks</t>
        </is>
      </c>
    </row>
    <row r="23">
      <c r="A23" s="8" t="n">
        <v>46308</v>
      </c>
      <c r="B23" s="5" t="inlineStr">
        <is>
          <t>R16</t>
        </is>
      </c>
      <c r="C23" s="5" t="inlineStr">
        <is>
          <t>Opened</t>
        </is>
      </c>
      <c r="D23" s="5" t="inlineStr"/>
      <c r="E23" s="5" t="inlineStr">
        <is>
          <t>8</t>
        </is>
      </c>
      <c r="F23" s="5" t="inlineStr">
        <is>
          <t>Anthony Ruiz</t>
        </is>
      </c>
      <c r="G23" s="5" t="inlineStr">
        <is>
          <t>Brainstorming + SWOT: Privacy Officer vacancy</t>
        </is>
      </c>
    </row>
    <row r="24">
      <c r="A24" s="8" t="n">
        <v>46309</v>
      </c>
      <c r="B24" s="5" t="inlineStr">
        <is>
          <t>R01</t>
        </is>
      </c>
      <c r="C24" s="5" t="inlineStr">
        <is>
          <t>Re-scored (method change)</t>
        </is>
      </c>
      <c r="D24" s="5" t="inlineStr">
        <is>
          <t>20 Critical (5×5)</t>
        </is>
      </c>
      <c r="E24" s="5" t="inlineStr">
        <is>
          <t>16.64 High (weighted)</t>
        </is>
      </c>
      <c r="F24" s="5" t="inlineStr">
        <is>
          <t>Denise Coleman</t>
        </is>
      </c>
      <c r="G24" s="5" t="inlineStr">
        <is>
          <t>Adopted multi-criteria weighted model approved in Risk Evaluation Methods v1.0</t>
        </is>
      </c>
    </row>
    <row r="25">
      <c r="A25" s="8" t="n">
        <v>46309</v>
      </c>
      <c r="B25" s="5" t="inlineStr">
        <is>
          <t>R01</t>
        </is>
      </c>
      <c r="C25" s="5" t="inlineStr">
        <is>
          <t>Treatment assigned</t>
        </is>
      </c>
      <c r="D25" s="5" t="inlineStr">
        <is>
          <t>Open</t>
        </is>
      </c>
      <c r="E25" s="5" t="inlineStr">
        <is>
          <t>Mitigate: C01</t>
        </is>
      </c>
      <c r="F25" s="5" t="inlineStr">
        <is>
          <t>Denise Coleman</t>
        </is>
      </c>
      <c r="G25" s="5" t="inlineStr">
        <is>
          <t>Risk Mitigation Planning; target residual 6.66 Medium</t>
        </is>
      </c>
    </row>
    <row r="26">
      <c r="A26" s="8" t="n">
        <v>46309</v>
      </c>
      <c r="B26" s="5" t="inlineStr">
        <is>
          <t>R01</t>
        </is>
      </c>
      <c r="C26" s="5" t="inlineStr">
        <is>
          <t>Monitoring baseline</t>
        </is>
      </c>
      <c r="D26" s="5" t="inlineStr">
        <is>
          <t>—</t>
        </is>
      </c>
      <c r="E26" s="5" t="inlineStr">
        <is>
          <t>K07 Red; K08 Red; K09 Amber</t>
        </is>
      </c>
      <c r="F26" s="5" t="inlineStr">
        <is>
          <t>Anthony Ruiz</t>
        </is>
      </c>
      <c r="G26" s="5" t="inlineStr">
        <is>
          <t>First automated KRI run (kri_monitor.py)</t>
        </is>
      </c>
    </row>
    <row r="27">
      <c r="A27" s="8" t="n">
        <v>46309</v>
      </c>
      <c r="B27" s="5" t="inlineStr">
        <is>
          <t>R02</t>
        </is>
      </c>
      <c r="C27" s="5" t="inlineStr">
        <is>
          <t>Re-scored (method change)</t>
        </is>
      </c>
      <c r="D27" s="5" t="inlineStr">
        <is>
          <t>15 High (5×5)</t>
        </is>
      </c>
      <c r="E27" s="5" t="inlineStr">
        <is>
          <t>11.76 High (weighted)</t>
        </is>
      </c>
      <c r="F27" s="5" t="inlineStr">
        <is>
          <t>Denise Coleman</t>
        </is>
      </c>
      <c r="G27" s="5" t="inlineStr">
        <is>
          <t>Adopted multi-criteria weighted model approved in Risk Evaluation Methods v1.0</t>
        </is>
      </c>
    </row>
    <row r="28">
      <c r="A28" s="8" t="n">
        <v>46309</v>
      </c>
      <c r="B28" s="5" t="inlineStr">
        <is>
          <t>R02</t>
        </is>
      </c>
      <c r="C28" s="5" t="inlineStr">
        <is>
          <t>Treatment assigned</t>
        </is>
      </c>
      <c r="D28" s="5" t="inlineStr">
        <is>
          <t>Open</t>
        </is>
      </c>
      <c r="E28" s="5" t="inlineStr">
        <is>
          <t>Mitigate + Transfer: C02, T01</t>
        </is>
      </c>
      <c r="F28" s="5" t="inlineStr">
        <is>
          <t>Denise Coleman</t>
        </is>
      </c>
      <c r="G28" s="5" t="inlineStr">
        <is>
          <t>Risk Mitigation Planning; target residual 3.92 Low</t>
        </is>
      </c>
    </row>
    <row r="29">
      <c r="A29" s="8" t="n">
        <v>46309</v>
      </c>
      <c r="B29" s="5" t="inlineStr">
        <is>
          <t>R02</t>
        </is>
      </c>
      <c r="C29" s="5" t="inlineStr">
        <is>
          <t>Monitoring baseline</t>
        </is>
      </c>
      <c r="D29" s="5" t="inlineStr">
        <is>
          <t>—</t>
        </is>
      </c>
      <c r="E29" s="5" t="inlineStr">
        <is>
          <t>K01 Red; K02 Amber</t>
        </is>
      </c>
      <c r="F29" s="5" t="inlineStr">
        <is>
          <t>Anthony Ruiz</t>
        </is>
      </c>
      <c r="G29" s="5" t="inlineStr">
        <is>
          <t>First automated KRI run (kri_monitor.py)</t>
        </is>
      </c>
    </row>
    <row r="30">
      <c r="A30" s="8" t="n">
        <v>46309</v>
      </c>
      <c r="B30" s="5" t="inlineStr">
        <is>
          <t>R03</t>
        </is>
      </c>
      <c r="C30" s="5" t="inlineStr">
        <is>
          <t>Re-scored (method change)</t>
        </is>
      </c>
      <c r="D30" s="5" t="inlineStr">
        <is>
          <t>15 High (5×5)</t>
        </is>
      </c>
      <c r="E30" s="5" t="inlineStr">
        <is>
          <t>13.56 High (weighted)</t>
        </is>
      </c>
      <c r="F30" s="5" t="inlineStr">
        <is>
          <t>Denise Coleman</t>
        </is>
      </c>
      <c r="G30" s="5" t="inlineStr">
        <is>
          <t>Adopted multi-criteria weighted model approved in Risk Evaluation Methods v1.0</t>
        </is>
      </c>
    </row>
    <row r="31">
      <c r="A31" s="8" t="n">
        <v>46309</v>
      </c>
      <c r="B31" s="5" t="inlineStr">
        <is>
          <t>R03</t>
        </is>
      </c>
      <c r="C31" s="5" t="inlineStr">
        <is>
          <t>Treatment assigned</t>
        </is>
      </c>
      <c r="D31" s="5" t="inlineStr">
        <is>
          <t>Open</t>
        </is>
      </c>
      <c r="E31" s="5" t="inlineStr">
        <is>
          <t>Mitigate: C03</t>
        </is>
      </c>
      <c r="F31" s="5" t="inlineStr">
        <is>
          <t>Denise Coleman</t>
        </is>
      </c>
      <c r="G31" s="5" t="inlineStr">
        <is>
          <t>Risk Mitigation Planning; target residual 4.52 Low</t>
        </is>
      </c>
    </row>
    <row r="32">
      <c r="A32" s="8" t="n">
        <v>46309</v>
      </c>
      <c r="B32" s="5" t="inlineStr">
        <is>
          <t>R03</t>
        </is>
      </c>
      <c r="C32" s="5" t="inlineStr">
        <is>
          <t>Monitoring baseline</t>
        </is>
      </c>
      <c r="D32" s="5" t="inlineStr">
        <is>
          <t>—</t>
        </is>
      </c>
      <c r="E32" s="5" t="inlineStr">
        <is>
          <t>K05 Red</t>
        </is>
      </c>
      <c r="F32" s="5" t="inlineStr">
        <is>
          <t>Anthony Ruiz</t>
        </is>
      </c>
      <c r="G32" s="5" t="inlineStr">
        <is>
          <t>First automated KRI run (kri_monitor.py)</t>
        </is>
      </c>
    </row>
    <row r="33">
      <c r="A33" s="8" t="n">
        <v>46309</v>
      </c>
      <c r="B33" s="5" t="inlineStr">
        <is>
          <t>R04</t>
        </is>
      </c>
      <c r="C33" s="5" t="inlineStr">
        <is>
          <t>Re-scored (method change)</t>
        </is>
      </c>
      <c r="D33" s="5" t="inlineStr">
        <is>
          <t>12 High (5×5)</t>
        </is>
      </c>
      <c r="E33" s="5" t="inlineStr">
        <is>
          <t>9.72 Medium (weighted)</t>
        </is>
      </c>
      <c r="F33" s="5" t="inlineStr">
        <is>
          <t>Denise Coleman</t>
        </is>
      </c>
      <c r="G33" s="5" t="inlineStr">
        <is>
          <t>Adopted multi-criteria weighted model approved in Risk Evaluation Methods v1.0</t>
        </is>
      </c>
    </row>
    <row r="34">
      <c r="A34" s="8" t="n">
        <v>46309</v>
      </c>
      <c r="B34" s="5" t="inlineStr">
        <is>
          <t>R04</t>
        </is>
      </c>
      <c r="C34" s="5" t="inlineStr">
        <is>
          <t>Treatment assigned</t>
        </is>
      </c>
      <c r="D34" s="5" t="inlineStr">
        <is>
          <t>Open</t>
        </is>
      </c>
      <c r="E34" s="5" t="inlineStr">
        <is>
          <t>Mitigate: C04</t>
        </is>
      </c>
      <c r="F34" s="5" t="inlineStr">
        <is>
          <t>Denise Coleman</t>
        </is>
      </c>
      <c r="G34" s="5" t="inlineStr">
        <is>
          <t>Risk Mitigation Planning; target residual 3.24 Low</t>
        </is>
      </c>
    </row>
    <row r="35">
      <c r="A35" s="8" t="n">
        <v>46309</v>
      </c>
      <c r="B35" s="5" t="inlineStr">
        <is>
          <t>R04</t>
        </is>
      </c>
      <c r="C35" s="5" t="inlineStr">
        <is>
          <t>Monitoring baseline</t>
        </is>
      </c>
      <c r="D35" s="5" t="inlineStr">
        <is>
          <t>—</t>
        </is>
      </c>
      <c r="E35" s="5" t="inlineStr">
        <is>
          <t>K06 Red</t>
        </is>
      </c>
      <c r="F35" s="5" t="inlineStr">
        <is>
          <t>Anthony Ruiz</t>
        </is>
      </c>
      <c r="G35" s="5" t="inlineStr">
        <is>
          <t>First automated KRI run (kri_monitor.py)</t>
        </is>
      </c>
    </row>
    <row r="36">
      <c r="A36" s="8" t="n">
        <v>46309</v>
      </c>
      <c r="B36" s="5" t="inlineStr">
        <is>
          <t>R05</t>
        </is>
      </c>
      <c r="C36" s="5" t="inlineStr">
        <is>
          <t>Re-scored (method change)</t>
        </is>
      </c>
      <c r="D36" s="5" t="inlineStr">
        <is>
          <t>15 High (5×5)</t>
        </is>
      </c>
      <c r="E36" s="5" t="inlineStr">
        <is>
          <t>14.01 High (weighted)</t>
        </is>
      </c>
      <c r="F36" s="5" t="inlineStr">
        <is>
          <t>Denise Coleman</t>
        </is>
      </c>
      <c r="G36" s="5" t="inlineStr">
        <is>
          <t>Adopted multi-criteria weighted model approved in Risk Evaluation Methods v1.0</t>
        </is>
      </c>
    </row>
    <row r="37">
      <c r="A37" s="8" t="n">
        <v>46309</v>
      </c>
      <c r="B37" s="5" t="inlineStr">
        <is>
          <t>R05</t>
        </is>
      </c>
      <c r="C37" s="5" t="inlineStr">
        <is>
          <t>Treatment assigned</t>
        </is>
      </c>
      <c r="D37" s="5" t="inlineStr">
        <is>
          <t>Open</t>
        </is>
      </c>
      <c r="E37" s="5" t="inlineStr">
        <is>
          <t>Mitigate + Transfer: C05, T01</t>
        </is>
      </c>
      <c r="F37" s="5" t="inlineStr">
        <is>
          <t>Denise Coleman</t>
        </is>
      </c>
      <c r="G37" s="5" t="inlineStr">
        <is>
          <t>Risk Mitigation Planning; target residual 9.00 Medium</t>
        </is>
      </c>
    </row>
    <row r="38">
      <c r="A38" s="8" t="n">
        <v>46309</v>
      </c>
      <c r="B38" s="5" t="inlineStr">
        <is>
          <t>R05</t>
        </is>
      </c>
      <c r="C38" s="5" t="inlineStr">
        <is>
          <t>Monitoring baseline</t>
        </is>
      </c>
      <c r="D38" s="5" t="inlineStr">
        <is>
          <t>—</t>
        </is>
      </c>
      <c r="E38" s="5" t="inlineStr">
        <is>
          <t>K03 Red; K04 Amber</t>
        </is>
      </c>
      <c r="F38" s="5" t="inlineStr">
        <is>
          <t>Anthony Ruiz</t>
        </is>
      </c>
      <c r="G38" s="5" t="inlineStr">
        <is>
          <t>First automated KRI run (kri_monitor.py)</t>
        </is>
      </c>
    </row>
    <row r="39">
      <c r="A39" s="8" t="n">
        <v>46309</v>
      </c>
      <c r="B39" s="5" t="inlineStr">
        <is>
          <t>R06</t>
        </is>
      </c>
      <c r="C39" s="5" t="inlineStr">
        <is>
          <t>Re-scored (method change)</t>
        </is>
      </c>
      <c r="D39" s="5" t="inlineStr">
        <is>
          <t>8 Medium (5×5)</t>
        </is>
      </c>
      <c r="E39" s="5" t="inlineStr">
        <is>
          <t>4.60 Low (weighted)</t>
        </is>
      </c>
      <c r="F39" s="5" t="inlineStr">
        <is>
          <t>Denise Coleman</t>
        </is>
      </c>
      <c r="G39" s="5" t="inlineStr">
        <is>
          <t>Adopted multi-criteria weighted model approved in Risk Evaluation Methods v1.0</t>
        </is>
      </c>
    </row>
    <row r="40">
      <c r="A40" s="8" t="n">
        <v>46309</v>
      </c>
      <c r="B40" s="5" t="inlineStr">
        <is>
          <t>R06</t>
        </is>
      </c>
      <c r="C40" s="5" t="inlineStr">
        <is>
          <t>Treatment assigned</t>
        </is>
      </c>
      <c r="D40" s="5" t="inlineStr">
        <is>
          <t>Open</t>
        </is>
      </c>
      <c r="E40" s="5" t="inlineStr">
        <is>
          <t>Transfer: C12</t>
        </is>
      </c>
      <c r="F40" s="5" t="inlineStr">
        <is>
          <t>Denise Coleman</t>
        </is>
      </c>
      <c r="G40" s="5" t="inlineStr">
        <is>
          <t>Risk Mitigation Planning; target residual 1.97 Low</t>
        </is>
      </c>
    </row>
    <row r="41">
      <c r="A41" s="8" t="n">
        <v>46309</v>
      </c>
      <c r="B41" s="5" t="inlineStr">
        <is>
          <t>R07</t>
        </is>
      </c>
      <c r="C41" s="5" t="inlineStr">
        <is>
          <t>Re-scored (method change)</t>
        </is>
      </c>
      <c r="D41" s="5" t="inlineStr">
        <is>
          <t>6 Medium (5×5)</t>
        </is>
      </c>
      <c r="E41" s="5" t="inlineStr">
        <is>
          <t>3.56 Low (weighted)</t>
        </is>
      </c>
      <c r="F41" s="5" t="inlineStr">
        <is>
          <t>Denise Coleman</t>
        </is>
      </c>
      <c r="G41" s="5" t="inlineStr">
        <is>
          <t>Adopted multi-criteria weighted model approved in Risk Evaluation Methods v1.0</t>
        </is>
      </c>
    </row>
    <row r="42">
      <c r="A42" s="8" t="n">
        <v>46309</v>
      </c>
      <c r="B42" s="5" t="inlineStr">
        <is>
          <t>R07</t>
        </is>
      </c>
      <c r="C42" s="5" t="inlineStr">
        <is>
          <t>Treatment assigned</t>
        </is>
      </c>
      <c r="D42" s="5" t="inlineStr">
        <is>
          <t>Open</t>
        </is>
      </c>
      <c r="E42" s="5" t="inlineStr">
        <is>
          <t>Avoid: C14</t>
        </is>
      </c>
      <c r="F42" s="5" t="inlineStr">
        <is>
          <t>Denise Coleman</t>
        </is>
      </c>
      <c r="G42" s="5" t="inlineStr">
        <is>
          <t>Risk Mitigation Planning; target residual 0.00 Eliminated</t>
        </is>
      </c>
    </row>
    <row r="43">
      <c r="A43" s="8" t="n">
        <v>46309</v>
      </c>
      <c r="B43" s="5" t="inlineStr">
        <is>
          <t>R07</t>
        </is>
      </c>
      <c r="C43" s="5" t="inlineStr">
        <is>
          <t>Monitoring baseline</t>
        </is>
      </c>
      <c r="D43" s="5" t="inlineStr">
        <is>
          <t>—</t>
        </is>
      </c>
      <c r="E43" s="5" t="inlineStr">
        <is>
          <t>K14 Amber</t>
        </is>
      </c>
      <c r="F43" s="5" t="inlineStr">
        <is>
          <t>Anthony Ruiz</t>
        </is>
      </c>
      <c r="G43" s="5" t="inlineStr">
        <is>
          <t>First automated KRI run (kri_monitor.py)</t>
        </is>
      </c>
    </row>
    <row r="44">
      <c r="A44" s="8" t="n">
        <v>46309</v>
      </c>
      <c r="B44" s="5" t="inlineStr">
        <is>
          <t>R08</t>
        </is>
      </c>
      <c r="C44" s="5" t="inlineStr">
        <is>
          <t>Re-scored (method change)</t>
        </is>
      </c>
      <c r="D44" s="5" t="inlineStr">
        <is>
          <t>12 High (5×5)</t>
        </is>
      </c>
      <c r="E44" s="5" t="inlineStr">
        <is>
          <t>8.91 Medium (weighted)</t>
        </is>
      </c>
      <c r="F44" s="5" t="inlineStr">
        <is>
          <t>Denise Coleman</t>
        </is>
      </c>
      <c r="G44" s="5" t="inlineStr">
        <is>
          <t>Adopted multi-criteria weighted model approved in Risk Evaluation Methods v1.0</t>
        </is>
      </c>
    </row>
    <row r="45">
      <c r="A45" s="8" t="n">
        <v>46309</v>
      </c>
      <c r="B45" s="5" t="inlineStr">
        <is>
          <t>R08</t>
        </is>
      </c>
      <c r="C45" s="5" t="inlineStr">
        <is>
          <t>Treatment assigned</t>
        </is>
      </c>
      <c r="D45" s="5" t="inlineStr">
        <is>
          <t>Open</t>
        </is>
      </c>
      <c r="E45" s="5" t="inlineStr">
        <is>
          <t>Mitigate: C08</t>
        </is>
      </c>
      <c r="F45" s="5" t="inlineStr">
        <is>
          <t>Denise Coleman</t>
        </is>
      </c>
      <c r="G45" s="5" t="inlineStr">
        <is>
          <t>Risk Mitigation Planning; target residual 2.97 Low</t>
        </is>
      </c>
    </row>
    <row r="46">
      <c r="A46" s="8" t="n">
        <v>46309</v>
      </c>
      <c r="B46" s="5" t="inlineStr">
        <is>
          <t>R08</t>
        </is>
      </c>
      <c r="C46" s="5" t="inlineStr">
        <is>
          <t>Monitoring baseline</t>
        </is>
      </c>
      <c r="D46" s="5" t="inlineStr">
        <is>
          <t>—</t>
        </is>
      </c>
      <c r="E46" s="5" t="inlineStr">
        <is>
          <t>K12 Amber; K13 Amber</t>
        </is>
      </c>
      <c r="F46" s="5" t="inlineStr">
        <is>
          <t>Anthony Ruiz</t>
        </is>
      </c>
      <c r="G46" s="5" t="inlineStr">
        <is>
          <t>First automated KRI run (kri_monitor.py)</t>
        </is>
      </c>
    </row>
    <row r="47">
      <c r="A47" s="8" t="n">
        <v>46309</v>
      </c>
      <c r="B47" s="5" t="inlineStr">
        <is>
          <t>R09</t>
        </is>
      </c>
      <c r="C47" s="5" t="inlineStr">
        <is>
          <t>Re-scored (method change)</t>
        </is>
      </c>
      <c r="D47" s="5" t="inlineStr">
        <is>
          <t>15 High (5×5)</t>
        </is>
      </c>
      <c r="E47" s="5" t="inlineStr">
        <is>
          <t>9.57 Medium (weighted)</t>
        </is>
      </c>
      <c r="F47" s="5" t="inlineStr">
        <is>
          <t>Denise Coleman</t>
        </is>
      </c>
      <c r="G47" s="5" t="inlineStr">
        <is>
          <t>Adopted multi-criteria weighted model approved in Risk Evaluation Methods v1.0</t>
        </is>
      </c>
    </row>
    <row r="48">
      <c r="A48" s="8" t="n">
        <v>46309</v>
      </c>
      <c r="B48" s="5" t="inlineStr">
        <is>
          <t>R09</t>
        </is>
      </c>
      <c r="C48" s="5" t="inlineStr">
        <is>
          <t>Treatment assigned</t>
        </is>
      </c>
      <c r="D48" s="5" t="inlineStr">
        <is>
          <t>Open</t>
        </is>
      </c>
      <c r="E48" s="5" t="inlineStr">
        <is>
          <t>Avoid: C13</t>
        </is>
      </c>
      <c r="F48" s="5" t="inlineStr">
        <is>
          <t>Denise Coleman</t>
        </is>
      </c>
      <c r="G48" s="5" t="inlineStr">
        <is>
          <t>Risk Mitigation Planning; target residual 0.00 Eliminated</t>
        </is>
      </c>
    </row>
    <row r="49">
      <c r="A49" s="8" t="n">
        <v>46309</v>
      </c>
      <c r="B49" s="5" t="inlineStr">
        <is>
          <t>R10</t>
        </is>
      </c>
      <c r="C49" s="5" t="inlineStr">
        <is>
          <t>Re-scored (method change)</t>
        </is>
      </c>
      <c r="D49" s="5" t="inlineStr">
        <is>
          <t>20 Critical (5×5)</t>
        </is>
      </c>
      <c r="E49" s="5" t="inlineStr">
        <is>
          <t>12.76 High (weighted)</t>
        </is>
      </c>
      <c r="F49" s="5" t="inlineStr">
        <is>
          <t>Denise Coleman</t>
        </is>
      </c>
      <c r="G49" s="5" t="inlineStr">
        <is>
          <t>Adopted multi-criteria weighted model approved in Risk Evaluation Methods v1.0</t>
        </is>
      </c>
    </row>
    <row r="50">
      <c r="A50" s="8" t="n">
        <v>46309</v>
      </c>
      <c r="B50" s="5" t="inlineStr">
        <is>
          <t>R10</t>
        </is>
      </c>
      <c r="C50" s="5" t="inlineStr">
        <is>
          <t>Treatment assigned</t>
        </is>
      </c>
      <c r="D50" s="5" t="inlineStr">
        <is>
          <t>Open</t>
        </is>
      </c>
      <c r="E50" s="5" t="inlineStr">
        <is>
          <t>Avoid: C13</t>
        </is>
      </c>
      <c r="F50" s="5" t="inlineStr">
        <is>
          <t>Denise Coleman</t>
        </is>
      </c>
      <c r="G50" s="5" t="inlineStr">
        <is>
          <t>Risk Mitigation Planning; target residual 0.00 Eliminated</t>
        </is>
      </c>
    </row>
    <row r="51">
      <c r="A51" s="8" t="n">
        <v>46309</v>
      </c>
      <c r="B51" s="5" t="inlineStr">
        <is>
          <t>R11</t>
        </is>
      </c>
      <c r="C51" s="5" t="inlineStr">
        <is>
          <t>Re-scored (method change)</t>
        </is>
      </c>
      <c r="D51" s="5" t="inlineStr">
        <is>
          <t>12 High (5×5)</t>
        </is>
      </c>
      <c r="E51" s="5" t="inlineStr">
        <is>
          <t>10.08 Medium (weighted)</t>
        </is>
      </c>
      <c r="F51" s="5" t="inlineStr">
        <is>
          <t>Denise Coleman</t>
        </is>
      </c>
      <c r="G51" s="5" t="inlineStr">
        <is>
          <t>Adopted multi-criteria weighted model approved in Risk Evaluation Methods v1.0</t>
        </is>
      </c>
    </row>
    <row r="52">
      <c r="A52" s="8" t="n">
        <v>46309</v>
      </c>
      <c r="B52" s="5" t="inlineStr">
        <is>
          <t>R11</t>
        </is>
      </c>
      <c r="C52" s="5" t="inlineStr">
        <is>
          <t>Treatment assigned</t>
        </is>
      </c>
      <c r="D52" s="5" t="inlineStr">
        <is>
          <t>Open</t>
        </is>
      </c>
      <c r="E52" s="5" t="inlineStr">
        <is>
          <t>Mitigate: C06</t>
        </is>
      </c>
      <c r="F52" s="5" t="inlineStr">
        <is>
          <t>Denise Coleman</t>
        </is>
      </c>
      <c r="G52" s="5" t="inlineStr">
        <is>
          <t>Risk Mitigation Planning; target residual 5.28 Low</t>
        </is>
      </c>
    </row>
    <row r="53">
      <c r="A53" s="8" t="n">
        <v>46309</v>
      </c>
      <c r="B53" s="5" t="inlineStr">
        <is>
          <t>R11</t>
        </is>
      </c>
      <c r="C53" s="5" t="inlineStr">
        <is>
          <t>Monitoring baseline</t>
        </is>
      </c>
      <c r="D53" s="5" t="inlineStr">
        <is>
          <t>—</t>
        </is>
      </c>
      <c r="E53" s="5" t="inlineStr">
        <is>
          <t>K10 Amber; K11 Amber</t>
        </is>
      </c>
      <c r="F53" s="5" t="inlineStr">
        <is>
          <t>Anthony Ruiz</t>
        </is>
      </c>
      <c r="G53" s="5" t="inlineStr">
        <is>
          <t>First automated KRI run (kri_monitor.py)</t>
        </is>
      </c>
    </row>
    <row r="54">
      <c r="A54" s="8" t="n">
        <v>46309</v>
      </c>
      <c r="B54" s="5" t="inlineStr">
        <is>
          <t>R12</t>
        </is>
      </c>
      <c r="C54" s="5" t="inlineStr">
        <is>
          <t>Re-scored (method change)</t>
        </is>
      </c>
      <c r="D54" s="5" t="inlineStr">
        <is>
          <t>12 High (5×5)</t>
        </is>
      </c>
      <c r="E54" s="5" t="inlineStr">
        <is>
          <t>8.91 Medium (weighted)</t>
        </is>
      </c>
      <c r="F54" s="5" t="inlineStr">
        <is>
          <t>Denise Coleman</t>
        </is>
      </c>
      <c r="G54" s="5" t="inlineStr">
        <is>
          <t>Adopted multi-criteria weighted model approved in Risk Evaluation Methods v1.0</t>
        </is>
      </c>
    </row>
    <row r="55">
      <c r="A55" s="8" t="n">
        <v>46309</v>
      </c>
      <c r="B55" s="5" t="inlineStr">
        <is>
          <t>R12</t>
        </is>
      </c>
      <c r="C55" s="5" t="inlineStr">
        <is>
          <t>Treatment assigned</t>
        </is>
      </c>
      <c r="D55" s="5" t="inlineStr">
        <is>
          <t>Open</t>
        </is>
      </c>
      <c r="E55" s="5" t="inlineStr">
        <is>
          <t>Mitigate: C07</t>
        </is>
      </c>
      <c r="F55" s="5" t="inlineStr">
        <is>
          <t>Denise Coleman</t>
        </is>
      </c>
      <c r="G55" s="5" t="inlineStr">
        <is>
          <t>Risk Mitigation Planning; target residual 2.97 Low</t>
        </is>
      </c>
    </row>
    <row r="56">
      <c r="A56" s="8" t="n">
        <v>46309</v>
      </c>
      <c r="B56" s="5" t="inlineStr">
        <is>
          <t>R13</t>
        </is>
      </c>
      <c r="C56" s="5" t="inlineStr">
        <is>
          <t>Re-scored (method change)</t>
        </is>
      </c>
      <c r="D56" s="5" t="inlineStr">
        <is>
          <t>12 High (5×5)</t>
        </is>
      </c>
      <c r="E56" s="5" t="inlineStr">
        <is>
          <t>7.62 Medium (weighted)</t>
        </is>
      </c>
      <c r="F56" s="5" t="inlineStr">
        <is>
          <t>Denise Coleman</t>
        </is>
      </c>
      <c r="G56" s="5" t="inlineStr">
        <is>
          <t>Adopted multi-criteria weighted model approved in Risk Evaluation Methods v1.0</t>
        </is>
      </c>
    </row>
    <row r="57">
      <c r="A57" s="8" t="n">
        <v>46309</v>
      </c>
      <c r="B57" s="5" t="inlineStr">
        <is>
          <t>R13</t>
        </is>
      </c>
      <c r="C57" s="5" t="inlineStr">
        <is>
          <t>Treatment assigned</t>
        </is>
      </c>
      <c r="D57" s="5" t="inlineStr">
        <is>
          <t>Open</t>
        </is>
      </c>
      <c r="E57" s="5" t="inlineStr">
        <is>
          <t>Mitigate: C09</t>
        </is>
      </c>
      <c r="F57" s="5" t="inlineStr">
        <is>
          <t>Denise Coleman</t>
        </is>
      </c>
      <c r="G57" s="5" t="inlineStr">
        <is>
          <t>Risk Mitigation Planning; target residual 4.84 Low</t>
        </is>
      </c>
    </row>
    <row r="58">
      <c r="A58" s="8" t="n">
        <v>46309</v>
      </c>
      <c r="B58" s="5" t="inlineStr">
        <is>
          <t>R14</t>
        </is>
      </c>
      <c r="C58" s="5" t="inlineStr">
        <is>
          <t>Re-scored (method change)</t>
        </is>
      </c>
      <c r="D58" s="5" t="inlineStr">
        <is>
          <t>8 Medium (5×5)</t>
        </is>
      </c>
      <c r="E58" s="5" t="inlineStr">
        <is>
          <t>3.94 Low (weighted)</t>
        </is>
      </c>
      <c r="F58" s="5" t="inlineStr">
        <is>
          <t>Denise Coleman</t>
        </is>
      </c>
      <c r="G58" s="5" t="inlineStr">
        <is>
          <t>Adopted multi-criteria weighted model approved in Risk Evaluation Methods v1.0</t>
        </is>
      </c>
    </row>
    <row r="59">
      <c r="A59" s="8" t="n">
        <v>46309</v>
      </c>
      <c r="B59" s="5" t="inlineStr">
        <is>
          <t>R14</t>
        </is>
      </c>
      <c r="C59" s="5" t="inlineStr">
        <is>
          <t>Treatment assigned</t>
        </is>
      </c>
      <c r="D59" s="5" t="inlineStr">
        <is>
          <t>Open</t>
        </is>
      </c>
      <c r="E59" s="5" t="inlineStr">
        <is>
          <t>Mitigate: C10</t>
        </is>
      </c>
      <c r="F59" s="5" t="inlineStr">
        <is>
          <t>Denise Coleman</t>
        </is>
      </c>
      <c r="G59" s="5" t="inlineStr">
        <is>
          <t>Risk Mitigation Planning; target residual 1.97 Low</t>
        </is>
      </c>
    </row>
    <row r="60">
      <c r="A60" s="8" t="n">
        <v>46309</v>
      </c>
      <c r="B60" s="5" t="inlineStr">
        <is>
          <t>R15</t>
        </is>
      </c>
      <c r="C60" s="5" t="inlineStr">
        <is>
          <t>Re-scored (method change)</t>
        </is>
      </c>
      <c r="D60" s="5" t="inlineStr">
        <is>
          <t>8 Medium (5×5)</t>
        </is>
      </c>
      <c r="E60" s="5" t="inlineStr">
        <is>
          <t>5.82 Low (weighted)</t>
        </is>
      </c>
      <c r="F60" s="5" t="inlineStr">
        <is>
          <t>Denise Coleman</t>
        </is>
      </c>
      <c r="G60" s="5" t="inlineStr">
        <is>
          <t>Adopted multi-criteria weighted model approved in Risk Evaluation Methods v1.0</t>
        </is>
      </c>
    </row>
    <row r="61">
      <c r="A61" s="8" t="n">
        <v>46309</v>
      </c>
      <c r="B61" s="5" t="inlineStr">
        <is>
          <t>R15</t>
        </is>
      </c>
      <c r="C61" s="5" t="inlineStr">
        <is>
          <t>Treatment assigned</t>
        </is>
      </c>
      <c r="D61" s="5" t="inlineStr">
        <is>
          <t>Open</t>
        </is>
      </c>
      <c r="E61" s="5" t="inlineStr">
        <is>
          <t>Accept: A01</t>
        </is>
      </c>
      <c r="F61" s="5" t="inlineStr">
        <is>
          <t>Denise Coleman</t>
        </is>
      </c>
      <c r="G61" s="5" t="inlineStr">
        <is>
          <t>Risk Mitigation Planning; target residual 5.82 Low</t>
        </is>
      </c>
    </row>
    <row r="62">
      <c r="A62" s="8" t="n">
        <v>46309</v>
      </c>
      <c r="B62" s="5" t="inlineStr">
        <is>
          <t>R15</t>
        </is>
      </c>
      <c r="C62" s="5" t="inlineStr">
        <is>
          <t>Monitoring baseline</t>
        </is>
      </c>
      <c r="D62" s="5" t="inlineStr">
        <is>
          <t>—</t>
        </is>
      </c>
      <c r="E62" s="5" t="inlineStr">
        <is>
          <t>K15 Amber</t>
        </is>
      </c>
      <c r="F62" s="5" t="inlineStr">
        <is>
          <t>Anthony Ruiz</t>
        </is>
      </c>
      <c r="G62" s="5" t="inlineStr">
        <is>
          <t>First automated KRI run (kri_monitor.py)</t>
        </is>
      </c>
    </row>
    <row r="63">
      <c r="A63" s="8" t="n">
        <v>46309</v>
      </c>
      <c r="B63" s="5" t="inlineStr">
        <is>
          <t>R16</t>
        </is>
      </c>
      <c r="C63" s="5" t="inlineStr">
        <is>
          <t>Re-scored (method change)</t>
        </is>
      </c>
      <c r="D63" s="5" t="inlineStr">
        <is>
          <t>8 Medium (5×5)</t>
        </is>
      </c>
      <c r="E63" s="5" t="inlineStr">
        <is>
          <t>6.12 Medium (weighted)</t>
        </is>
      </c>
      <c r="F63" s="5" t="inlineStr">
        <is>
          <t>Denise Coleman</t>
        </is>
      </c>
      <c r="G63" s="5" t="inlineStr">
        <is>
          <t>Adopted multi-criteria weighted model approved in Risk Evaluation Methods v1.0</t>
        </is>
      </c>
    </row>
    <row r="64">
      <c r="A64" s="8" t="n">
        <v>46309</v>
      </c>
      <c r="B64" s="5" t="inlineStr">
        <is>
          <t>R16</t>
        </is>
      </c>
      <c r="C64" s="5" t="inlineStr">
        <is>
          <t>Treatment assigned</t>
        </is>
      </c>
      <c r="D64" s="5" t="inlineStr">
        <is>
          <t>Open</t>
        </is>
      </c>
      <c r="E64" s="5" t="inlineStr">
        <is>
          <t>Mitigate: C11</t>
        </is>
      </c>
      <c r="F64" s="5" t="inlineStr">
        <is>
          <t>Denise Coleman</t>
        </is>
      </c>
      <c r="G64" s="5" t="inlineStr">
        <is>
          <t>Risk Mitigation Planning; target residual 2.73 Low</t>
        </is>
      </c>
    </row>
  </sheetData>
  <autoFilter ref="A4:G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N9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8" customWidth="1" min="4" max="4"/>
    <col width="7" customWidth="1" min="5" max="5"/>
    <col width="8" customWidth="1" min="6" max="6"/>
    <col width="7" customWidth="1" min="7" max="7"/>
    <col width="10" customWidth="1" min="8" max="8"/>
    <col width="10" customWidth="1" min="9" max="9"/>
    <col width="13" customWidth="1" min="10" max="10"/>
    <col width="8" customWidth="1" min="11" max="11"/>
    <col width="9" customWidth="1" min="12" max="12"/>
    <col width="9" customWidth="1" min="13" max="13"/>
    <col width="48" customWidth="1" min="14" max="14"/>
  </cols>
  <sheetData>
    <row r="1">
      <c r="A1" s="1" t="inlineStr">
        <is>
          <t>Register snapshots for trend tracking</t>
        </is>
      </c>
    </row>
    <row r="2">
      <c r="A2" s="2" t="inlineStr">
        <is>
          <t>One row per month-end (plus key events). Rows marked Target are plan values, not actuals.</t>
        </is>
      </c>
    </row>
    <row r="4" ht="32" customHeight="1">
      <c r="A4" s="4" t="inlineStr">
        <is>
          <t>Date</t>
        </is>
      </c>
      <c r="B4" s="4" t="inlineStr">
        <is>
          <t>Type</t>
        </is>
      </c>
      <c r="C4" s="4" t="inlineStr">
        <is>
          <t>Risks</t>
        </is>
      </c>
      <c r="D4" s="4" t="inlineStr">
        <is>
          <t>Critical</t>
        </is>
      </c>
      <c r="E4" s="4" t="inlineStr">
        <is>
          <t>High</t>
        </is>
      </c>
      <c r="F4" s="4" t="inlineStr">
        <is>
          <t>Medium</t>
        </is>
      </c>
      <c r="G4" s="4" t="inlineStr">
        <is>
          <t>Low</t>
        </is>
      </c>
      <c r="H4" s="4" t="inlineStr">
        <is>
          <t>Eliminated</t>
        </is>
      </c>
      <c r="I4" s="4" t="inlineStr">
        <is>
          <t>Total score</t>
        </is>
      </c>
      <c r="J4" s="4" t="inlineStr">
        <is>
          <t>ALE top 5</t>
        </is>
      </c>
      <c r="K4" s="4" t="inlineStr">
        <is>
          <t>KRIs Red</t>
        </is>
      </c>
      <c r="L4" s="4" t="inlineStr">
        <is>
          <t>KRIs Amber</t>
        </is>
      </c>
      <c r="M4" s="4" t="inlineStr">
        <is>
          <t>KRIs Green</t>
        </is>
      </c>
      <c r="N4" s="4" t="inlineStr">
        <is>
          <t>Note</t>
        </is>
      </c>
    </row>
    <row r="5">
      <c r="A5" s="8" t="n">
        <v>46273</v>
      </c>
      <c r="B5" s="5" t="inlineStr">
        <is>
          <t>Actual</t>
        </is>
      </c>
      <c r="C5" s="5" t="n">
        <v>2</v>
      </c>
      <c r="D5" s="5" t="n">
        <v>2</v>
      </c>
      <c r="E5" s="5" t="n">
        <v>0</v>
      </c>
      <c r="F5" s="5" t="n">
        <v>0</v>
      </c>
      <c r="G5" s="5" t="n">
        <v>0</v>
      </c>
      <c r="H5" s="5" t="n">
        <v>0</v>
      </c>
      <c r="I5" s="5" t="n"/>
      <c r="J5" s="9" t="n"/>
      <c r="K5" s="5" t="n"/>
      <c r="L5" s="5" t="n"/>
      <c r="M5" s="5" t="n"/>
      <c r="N5" s="5" t="inlineStr">
        <is>
          <t>Vulnerability scan: R09, R10 (legacy Critical rating)</t>
        </is>
      </c>
    </row>
    <row r="6">
      <c r="A6" s="8" t="n">
        <v>46308</v>
      </c>
      <c r="B6" s="5" t="inlineStr">
        <is>
          <t>Actual</t>
        </is>
      </c>
      <c r="C6" s="5" t="n">
        <v>16</v>
      </c>
      <c r="D6" s="5" t="n">
        <v>2</v>
      </c>
      <c r="E6" s="5" t="n">
        <v>9</v>
      </c>
      <c r="F6" s="5" t="n">
        <v>5</v>
      </c>
      <c r="G6" s="5" t="n">
        <v>0</v>
      </c>
      <c r="H6" s="5" t="n">
        <v>0</v>
      </c>
      <c r="I6" s="5" t="n">
        <v>198</v>
      </c>
      <c r="J6" s="9" t="n">
        <v>2765842.6132</v>
      </c>
      <c r="K6" s="5" t="n"/>
      <c r="L6" s="5" t="n"/>
      <c r="M6" s="5" t="n"/>
      <c r="N6" s="5" t="inlineStr">
        <is>
          <t>Register created (5×5 scale)</t>
        </is>
      </c>
    </row>
    <row r="7">
      <c r="A7" s="8" t="n">
        <v>46309</v>
      </c>
      <c r="B7" s="5" t="inlineStr">
        <is>
          <t>Actual</t>
        </is>
      </c>
      <c r="C7" s="5" t="n">
        <v>16</v>
      </c>
      <c r="D7" s="5" t="n">
        <v>0</v>
      </c>
      <c r="E7" s="5" t="n">
        <v>5</v>
      </c>
      <c r="F7" s="5" t="n">
        <v>7</v>
      </c>
      <c r="G7" s="5" t="n">
        <v>4</v>
      </c>
      <c r="H7" s="5" t="n">
        <v>0</v>
      </c>
      <c r="I7" s="5" t="n">
        <v>147.6</v>
      </c>
      <c r="J7" s="9" t="n">
        <v>2765842.6132</v>
      </c>
      <c r="K7" s="5" t="n">
        <v>6</v>
      </c>
      <c r="L7" s="5" t="n">
        <v>9</v>
      </c>
      <c r="M7" s="5" t="n">
        <v>0</v>
      </c>
      <c r="N7" s="5" t="inlineStr">
        <is>
          <t>Weighted model adopted; first automated KRI run</t>
        </is>
      </c>
    </row>
    <row r="8">
      <c r="A8" s="10" t="n">
        <v>46356</v>
      </c>
      <c r="B8" s="11" t="inlineStr">
        <is>
          <t>Target</t>
        </is>
      </c>
      <c r="C8" s="11" t="n">
        <v>16</v>
      </c>
      <c r="D8" s="11" t="n">
        <v>0</v>
      </c>
      <c r="E8" s="11" t="n">
        <v>1</v>
      </c>
      <c r="F8" s="11" t="n"/>
      <c r="G8" s="11" t="n"/>
      <c r="H8" s="11" t="n">
        <v>3</v>
      </c>
      <c r="I8" s="11" t="n"/>
      <c r="J8" s="12" t="n">
        <v>1100000</v>
      </c>
      <c r="K8" s="11" t="n">
        <v>2</v>
      </c>
      <c r="L8" s="11" t="n"/>
      <c r="M8" s="11" t="n"/>
      <c r="N8" s="11" t="inlineStr">
        <is>
          <t>After Phase 1 + most of Phase 2</t>
        </is>
      </c>
    </row>
    <row r="9">
      <c r="A9" s="10" t="n">
        <v>46369</v>
      </c>
      <c r="B9" s="11" t="inlineStr">
        <is>
          <t>Target</t>
        </is>
      </c>
      <c r="C9" s="11" t="n">
        <v>16</v>
      </c>
      <c r="D9" s="11" t="n">
        <v>0</v>
      </c>
      <c r="E9" s="11" t="n">
        <v>0</v>
      </c>
      <c r="F9" s="11" t="n">
        <v>2</v>
      </c>
      <c r="G9" s="11" t="n">
        <v>11</v>
      </c>
      <c r="H9" s="11" t="n">
        <v>3</v>
      </c>
      <c r="I9" s="11" t="n">
        <v>55.9</v>
      </c>
      <c r="J9" s="12" t="n">
        <v>817836.0193999999</v>
      </c>
      <c r="K9" s="11" t="n">
        <v>0</v>
      </c>
      <c r="L9" s="11" t="n">
        <v>2</v>
      </c>
      <c r="M9" s="11" t="n">
        <v>13</v>
      </c>
      <c r="N9" s="11" t="inlineStr">
        <is>
          <t>Mitigation plan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19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36" customWidth="1" min="3" max="3"/>
    <col width="16" customWidth="1" min="4" max="4"/>
    <col width="22" customWidth="1" min="5" max="5"/>
    <col width="9" customWidth="1" min="6" max="6"/>
    <col width="7" customWidth="1" min="7" max="7"/>
    <col width="8" customWidth="1" min="8" max="8"/>
  </cols>
  <sheetData>
    <row r="1">
      <c r="A1" s="1" t="inlineStr">
        <is>
          <t>Automated KRI log</t>
        </is>
      </c>
    </row>
    <row r="2">
      <c r="A2" s="2" t="inlineStr">
        <is>
          <t>Appended by continuous_monitor.py runs</t>
        </is>
      </c>
    </row>
    <row r="4" ht="32" customHeight="1">
      <c r="A4" s="4" t="inlineStr">
        <is>
          <t>Run (UTC)</t>
        </is>
      </c>
      <c r="B4" s="4" t="inlineStr">
        <is>
          <t>KRI</t>
        </is>
      </c>
      <c r="C4" s="4" t="inlineStr">
        <is>
          <t>Indicator</t>
        </is>
      </c>
      <c r="D4" s="4" t="inlineStr">
        <is>
          <t>Value</t>
        </is>
      </c>
      <c r="E4" s="4" t="inlineStr">
        <is>
          <t>Target</t>
        </is>
      </c>
      <c r="F4" s="4" t="inlineStr">
        <is>
          <t>Status</t>
        </is>
      </c>
      <c r="G4" s="4" t="inlineStr">
        <is>
          <t>Risk</t>
        </is>
      </c>
      <c r="H4" s="4" t="inlineStr">
        <is>
          <t>Control</t>
        </is>
      </c>
    </row>
    <row r="5">
      <c r="A5" s="5" t="inlineStr">
        <is>
          <t>2026-10-14T18:46:00Z</t>
        </is>
      </c>
      <c r="B5" s="5" t="inlineStr">
        <is>
          <t>K01</t>
        </is>
      </c>
      <c r="C5" s="5" t="inlineStr">
        <is>
          <t>EHR storage public network access</t>
        </is>
      </c>
      <c r="D5" s="5" t="inlineStr">
        <is>
          <t>Enabled</t>
        </is>
      </c>
      <c r="E5" s="5" t="inlineStr">
        <is>
          <t>Disabled</t>
        </is>
      </c>
      <c r="F5" s="5" t="inlineStr">
        <is>
          <t>Red</t>
        </is>
      </c>
      <c r="G5" s="5" t="inlineStr">
        <is>
          <t>R02</t>
        </is>
      </c>
      <c r="H5" s="5" t="inlineStr">
        <is>
          <t>C02</t>
        </is>
      </c>
    </row>
    <row r="6">
      <c r="A6" s="5" t="inlineStr">
        <is>
          <t>2026-10-14T18:46:00Z</t>
        </is>
      </c>
      <c r="B6" s="5" t="inlineStr">
        <is>
          <t>K02</t>
        </is>
      </c>
      <c r="C6" s="5" t="inlineStr">
        <is>
          <t>EHR storage shared-key access</t>
        </is>
      </c>
      <c r="D6" s="5" t="inlineStr">
        <is>
          <t>True</t>
        </is>
      </c>
      <c r="E6" s="5" t="inlineStr">
        <is>
          <t>false</t>
        </is>
      </c>
      <c r="F6" s="5" t="inlineStr">
        <is>
          <t>Amber</t>
        </is>
      </c>
      <c r="G6" s="5" t="inlineStr">
        <is>
          <t>R02</t>
        </is>
      </c>
      <c r="H6" s="5" t="inlineStr">
        <is>
          <t>C02</t>
        </is>
      </c>
    </row>
    <row r="7">
      <c r="A7" s="5" t="inlineStr">
        <is>
          <t>2026-10-14T18:46:00Z</t>
        </is>
      </c>
      <c r="B7" s="5" t="inlineStr">
        <is>
          <t>K03</t>
        </is>
      </c>
      <c r="C7" s="5" t="inlineStr">
        <is>
          <t>EHR blob versioning</t>
        </is>
      </c>
      <c r="D7" s="5" t="inlineStr">
        <is>
          <t>Disabled</t>
        </is>
      </c>
      <c r="E7" s="5" t="inlineStr">
        <is>
          <t>Enabled</t>
        </is>
      </c>
      <c r="F7" s="5" t="inlineStr">
        <is>
          <t>Red</t>
        </is>
      </c>
      <c r="G7" s="5" t="inlineStr">
        <is>
          <t>R05</t>
        </is>
      </c>
      <c r="H7" s="5" t="inlineStr">
        <is>
          <t>C05</t>
        </is>
      </c>
    </row>
    <row r="8">
      <c r="A8" s="5" t="inlineStr">
        <is>
          <t>2026-10-14T18:46:00Z</t>
        </is>
      </c>
      <c r="B8" s="5" t="inlineStr">
        <is>
          <t>K04</t>
        </is>
      </c>
      <c r="C8" s="5" t="inlineStr">
        <is>
          <t>Blob soft-delete retention (days)</t>
        </is>
      </c>
      <c r="D8" s="5" t="inlineStr">
        <is>
          <t>7</t>
        </is>
      </c>
      <c r="E8" s="5" t="inlineStr">
        <is>
          <t>≥ 30</t>
        </is>
      </c>
      <c r="F8" s="5" t="inlineStr">
        <is>
          <t>Amber</t>
        </is>
      </c>
      <c r="G8" s="5" t="inlineStr">
        <is>
          <t>R05</t>
        </is>
      </c>
      <c r="H8" s="5" t="inlineStr">
        <is>
          <t>C05</t>
        </is>
      </c>
    </row>
    <row r="9">
      <c r="A9" s="5" t="inlineStr">
        <is>
          <t>2026-10-14T18:46:00Z</t>
        </is>
      </c>
      <c r="B9" s="5" t="inlineStr">
        <is>
          <t>K05</t>
        </is>
      </c>
      <c r="C9" s="5" t="inlineStr">
        <is>
          <t>Data-tier explicit deny rule</t>
        </is>
      </c>
      <c r="D9" s="5" t="inlineStr">
        <is>
          <t>Missing</t>
        </is>
      </c>
      <c r="E9" s="5" t="inlineStr">
        <is>
          <t>Present</t>
        </is>
      </c>
      <c r="F9" s="5" t="inlineStr">
        <is>
          <t>Red</t>
        </is>
      </c>
      <c r="G9" s="5" t="inlineStr">
        <is>
          <t>R03</t>
        </is>
      </c>
      <c r="H9" s="5" t="inlineStr">
        <is>
          <t>C03</t>
        </is>
      </c>
    </row>
    <row r="10">
      <c r="A10" s="5" t="inlineStr">
        <is>
          <t>2026-10-14T18:46:00Z</t>
        </is>
      </c>
      <c r="B10" s="5" t="inlineStr">
        <is>
          <t>K06</t>
        </is>
      </c>
      <c r="C10" s="5" t="inlineStr">
        <is>
          <t>Global Administrators</t>
        </is>
      </c>
      <c r="D10" s="5" t="inlineStr">
        <is>
          <t>1</t>
        </is>
      </c>
      <c r="E10" s="5" t="inlineStr">
        <is>
          <t>2–4 incl. break-glass</t>
        </is>
      </c>
      <c r="F10" s="5" t="inlineStr">
        <is>
          <t>Red</t>
        </is>
      </c>
      <c r="G10" s="5" t="inlineStr">
        <is>
          <t>R04</t>
        </is>
      </c>
      <c r="H10" s="5" t="inlineStr">
        <is>
          <t>C04</t>
        </is>
      </c>
    </row>
    <row r="11">
      <c r="A11" s="5" t="inlineStr">
        <is>
          <t>2026-10-14T18:46:00Z</t>
        </is>
      </c>
      <c r="B11" s="5" t="inlineStr">
        <is>
          <t>K07</t>
        </is>
      </c>
      <c r="C11" s="5" t="inlineStr">
        <is>
          <t>Activity log exported to Log Analytics</t>
        </is>
      </c>
      <c r="D11" s="5" t="inlineStr">
        <is>
          <t>0</t>
        </is>
      </c>
      <c r="E11" s="5" t="inlineStr">
        <is>
          <t>≥ 1</t>
        </is>
      </c>
      <c r="F11" s="5" t="inlineStr">
        <is>
          <t>Red</t>
        </is>
      </c>
      <c r="G11" s="5" t="inlineStr">
        <is>
          <t>R01</t>
        </is>
      </c>
      <c r="H11" s="5" t="inlineStr">
        <is>
          <t>C01</t>
        </is>
      </c>
    </row>
    <row r="12">
      <c r="A12" s="5" t="inlineStr">
        <is>
          <t>2026-10-14T18:46:00Z</t>
        </is>
      </c>
      <c r="B12" s="5" t="inlineStr">
        <is>
          <t>K08</t>
        </is>
      </c>
      <c r="C12" s="5" t="inlineStr">
        <is>
          <t>Activity-log alert rules</t>
        </is>
      </c>
      <c r="D12" s="5" t="inlineStr">
        <is>
          <t>0</t>
        </is>
      </c>
      <c r="E12" s="5" t="inlineStr">
        <is>
          <t>≥ 3</t>
        </is>
      </c>
      <c r="F12" s="5" t="inlineStr">
        <is>
          <t>Red</t>
        </is>
      </c>
      <c r="G12" s="5" t="inlineStr">
        <is>
          <t>R01</t>
        </is>
      </c>
      <c r="H12" s="5" t="inlineStr">
        <is>
          <t>C01</t>
        </is>
      </c>
    </row>
    <row r="13">
      <c r="A13" s="5" t="inlineStr">
        <is>
          <t>2026-10-14T18:46:00Z</t>
        </is>
      </c>
      <c r="B13" s="5" t="inlineStr">
        <is>
          <t>K09</t>
        </is>
      </c>
      <c r="C13" s="5" t="inlineStr">
        <is>
          <t>Network flow logs</t>
        </is>
      </c>
      <c r="D13" s="5" t="inlineStr">
        <is>
          <t>0</t>
        </is>
      </c>
      <c r="E13" s="5" t="inlineStr">
        <is>
          <t>≥ 1</t>
        </is>
      </c>
      <c r="F13" s="5" t="inlineStr">
        <is>
          <t>Amber</t>
        </is>
      </c>
      <c r="G13" s="5" t="inlineStr">
        <is>
          <t>R01</t>
        </is>
      </c>
      <c r="H13" s="5" t="inlineStr">
        <is>
          <t>C01</t>
        </is>
      </c>
    </row>
    <row r="14">
      <c r="A14" s="5" t="inlineStr">
        <is>
          <t>2026-10-14T18:46:00Z</t>
        </is>
      </c>
      <c r="B14" s="5" t="inlineStr">
        <is>
          <t>K10</t>
        </is>
      </c>
      <c r="C14" s="5" t="inlineStr">
        <is>
          <t>Defender for Storage</t>
        </is>
      </c>
      <c r="D14" s="5" t="inlineStr">
        <is>
          <t>Free</t>
        </is>
      </c>
      <c r="E14" s="5" t="inlineStr">
        <is>
          <t>Standard</t>
        </is>
      </c>
      <c r="F14" s="5" t="inlineStr">
        <is>
          <t>Amber</t>
        </is>
      </c>
      <c r="G14" s="5" t="inlineStr">
        <is>
          <t>R11</t>
        </is>
      </c>
      <c r="H14" s="5" t="inlineStr">
        <is>
          <t>C06</t>
        </is>
      </c>
    </row>
    <row r="15">
      <c r="A15" s="5" t="inlineStr">
        <is>
          <t>2026-10-14T18:46:00Z</t>
        </is>
      </c>
      <c r="B15" s="5" t="inlineStr">
        <is>
          <t>K11</t>
        </is>
      </c>
      <c r="C15" s="5" t="inlineStr">
        <is>
          <t>Security alert contacts</t>
        </is>
      </c>
      <c r="D15" s="5" t="inlineStr">
        <is>
          <t>0</t>
        </is>
      </c>
      <c r="E15" s="5" t="inlineStr">
        <is>
          <t>≥ 1</t>
        </is>
      </c>
      <c r="F15" s="5" t="inlineStr">
        <is>
          <t>Amber</t>
        </is>
      </c>
      <c r="G15" s="5" t="inlineStr">
        <is>
          <t>R11</t>
        </is>
      </c>
      <c r="H15" s="5" t="inlineStr">
        <is>
          <t>C06</t>
        </is>
      </c>
    </row>
    <row r="16">
      <c r="A16" s="5" t="inlineStr">
        <is>
          <t>2026-10-14T18:46:00Z</t>
        </is>
      </c>
      <c r="B16" s="5" t="inlineStr">
        <is>
          <t>K12</t>
        </is>
      </c>
      <c r="C16" s="5" t="inlineStr">
        <is>
          <t>Users can register applications</t>
        </is>
      </c>
      <c r="D16" s="5" t="inlineStr">
        <is>
          <t>True</t>
        </is>
      </c>
      <c r="E16" s="5" t="inlineStr">
        <is>
          <t>false</t>
        </is>
      </c>
      <c r="F16" s="5" t="inlineStr">
        <is>
          <t>Amber</t>
        </is>
      </c>
      <c r="G16" s="5" t="inlineStr">
        <is>
          <t>R08</t>
        </is>
      </c>
      <c r="H16" s="5" t="inlineStr">
        <is>
          <t>C08</t>
        </is>
      </c>
    </row>
    <row r="17">
      <c r="A17" s="5" t="inlineStr">
        <is>
          <t>2026-10-14T18:46:00Z</t>
        </is>
      </c>
      <c r="B17" s="5" t="inlineStr">
        <is>
          <t>K13</t>
        </is>
      </c>
      <c r="C17" s="5" t="inlineStr">
        <is>
          <t>Guest invitations allowed from</t>
        </is>
      </c>
      <c r="D17" s="5" t="inlineStr">
        <is>
          <t>everyone</t>
        </is>
      </c>
      <c r="E17" s="5" t="inlineStr">
        <is>
          <t>adminsAndGuestInviters</t>
        </is>
      </c>
      <c r="F17" s="5" t="inlineStr">
        <is>
          <t>Amber</t>
        </is>
      </c>
      <c r="G17" s="5" t="inlineStr">
        <is>
          <t>R08</t>
        </is>
      </c>
      <c r="H17" s="5" t="inlineStr">
        <is>
          <t>C08</t>
        </is>
      </c>
    </row>
    <row r="18">
      <c r="A18" s="5" t="inlineStr">
        <is>
          <t>2026-10-14T18:46:00Z</t>
        </is>
      </c>
      <c r="B18" s="5" t="inlineStr">
        <is>
          <t>K14</t>
        </is>
      </c>
      <c r="C18" s="5" t="inlineStr">
        <is>
          <t>Test/shared accounts in production</t>
        </is>
      </c>
      <c r="D18" s="5" t="inlineStr">
        <is>
          <t>1</t>
        </is>
      </c>
      <c r="E18" s="5" t="inlineStr">
        <is>
          <t>0</t>
        </is>
      </c>
      <c r="F18" s="5" t="inlineStr">
        <is>
          <t>Amber</t>
        </is>
      </c>
      <c r="G18" s="5" t="inlineStr">
        <is>
          <t>R07</t>
        </is>
      </c>
      <c r="H18" s="5" t="inlineStr">
        <is>
          <t>C14</t>
        </is>
      </c>
    </row>
    <row r="19">
      <c r="A19" s="5" t="inlineStr">
        <is>
          <t>2026-10-14T18:46:00Z</t>
        </is>
      </c>
      <c r="B19" s="5" t="inlineStr">
        <is>
          <t>K15</t>
        </is>
      </c>
      <c r="C19" s="5" t="inlineStr">
        <is>
          <t>Resource locks on production RG</t>
        </is>
      </c>
      <c r="D19" s="5" t="inlineStr">
        <is>
          <t>0</t>
        </is>
      </c>
      <c r="E19" s="5" t="inlineStr">
        <is>
          <t>≥ 1 (accepted risk)</t>
        </is>
      </c>
      <c r="F19" s="5" t="inlineStr">
        <is>
          <t>Amber</t>
        </is>
      </c>
      <c r="G19" s="5" t="inlineStr">
        <is>
          <t>R15</t>
        </is>
      </c>
      <c r="H19" s="5" t="inlineStr">
        <is>
          <t>A01</t>
        </is>
      </c>
    </row>
  </sheetData>
  <conditionalFormatting sqref="F5:F19">
    <cfRule type="expression" priority="1" dxfId="5">
      <formula>F5="Red"</formula>
    </cfRule>
    <cfRule type="expression" priority="2" dxfId="6">
      <formula>F5="Amber"</formula>
    </cfRule>
    <cfRule type="expression" priority="3" dxfId="7">
      <formula>F5="Green"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I6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6" customWidth="1" min="4" max="4"/>
    <col width="44" customWidth="1" min="5" max="5"/>
    <col width="12" customWidth="1" min="6" max="6"/>
    <col width="52" customWidth="1" min="7" max="7"/>
    <col width="18" customWidth="1" min="8" max="8"/>
    <col width="10" customWidth="1" min="9" max="9"/>
  </cols>
  <sheetData>
    <row r="1">
      <c r="A1" s="1" t="inlineStr">
        <is>
          <t>Environmental change detection log</t>
        </is>
      </c>
    </row>
    <row r="2">
      <c r="A2" s="2" t="inlineStr">
        <is>
          <t>change_detector.py results; each change must be reconciled with a ticket (IP-1/IP-2/IP-3)</t>
        </is>
      </c>
    </row>
    <row r="4" ht="32" customHeight="1">
      <c r="A4" s="4" t="inlineStr">
        <is>
          <t>Run (UTC)</t>
        </is>
      </c>
      <c r="B4" s="4" t="inlineStr">
        <is>
          <t>Baseline</t>
        </is>
      </c>
      <c r="C4" s="4" t="inlineStr">
        <is>
          <t>Severity</t>
        </is>
      </c>
      <c r="D4" s="4" t="inlineStr">
        <is>
          <t>Category</t>
        </is>
      </c>
      <c r="E4" s="4" t="inlineStr">
        <is>
          <t>Change</t>
        </is>
      </c>
      <c r="F4" s="4" t="inlineStr">
        <is>
          <t>Re-assess risks</t>
        </is>
      </c>
      <c r="G4" s="4" t="inlineStr">
        <is>
          <t>Procedure</t>
        </is>
      </c>
      <c r="H4" s="4" t="inlineStr">
        <is>
          <t>Ticket / reconciliation</t>
        </is>
      </c>
      <c r="I4" s="4" t="inlineStr">
        <is>
          <t>Closed</t>
        </is>
      </c>
    </row>
    <row r="5">
      <c r="A5" s="5" t="inlineStr">
        <is>
          <t>2026-10-14T18-45-21Z</t>
        </is>
      </c>
      <c r="B5" s="5" t="inlineStr">
        <is>
          <t>—</t>
        </is>
      </c>
      <c r="C5" s="5" t="inlineStr">
        <is>
          <t>Info</t>
        </is>
      </c>
      <c r="D5" s="5" t="inlineStr">
        <is>
          <t>all</t>
        </is>
      </c>
      <c r="E5" s="5" t="inlineStr">
        <is>
          <t>Baseline snapshot: resources 12, nsg_rules 3, role_assignments 2, directory_roles 1, users 32, group_members 10, storage_security 6, public_ips 3, tenant_policy 6</t>
        </is>
      </c>
      <c r="F5" s="5" t="inlineStr">
        <is>
          <t>—</t>
        </is>
      </c>
      <c r="G5" s="5" t="inlineStr">
        <is>
          <t>—</t>
        </is>
      </c>
      <c r="H5" s="6" t="inlineStr">
        <is>
          <t>n/a</t>
        </is>
      </c>
      <c r="I5" s="6" t="inlineStr"/>
    </row>
    <row r="6">
      <c r="A6" s="5" t="inlineStr">
        <is>
          <t>2026-10-14T18-46-10Z</t>
        </is>
      </c>
      <c r="B6" s="5" t="inlineStr">
        <is>
          <t>2026-10-14T18-45-21Z.json</t>
        </is>
      </c>
      <c r="C6" s="5" t="inlineStr">
        <is>
          <t>Info</t>
        </is>
      </c>
      <c r="D6" s="5" t="inlineStr">
        <is>
          <t>all</t>
        </is>
      </c>
      <c r="E6" s="5" t="inlineStr">
        <is>
          <t>No changes since baseline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n/a</t>
        </is>
      </c>
      <c r="I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H5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12" customWidth="1" min="5" max="5"/>
    <col width="12" customWidth="1" min="6" max="6"/>
    <col width="9" customWidth="1" min="7" max="7"/>
    <col width="8" customWidth="1" min="8" max="8"/>
  </cols>
  <sheetData>
    <row r="1">
      <c r="A1" s="1" t="inlineStr">
        <is>
          <t>Continuous monitoring run history (monitoring_log.jsonl)</t>
        </is>
      </c>
    </row>
    <row r="2">
      <c r="A2" s="2" t="inlineStr">
        <is>
          <t>One row per scheduled run; Alert = Red KRI or High/Critical change</t>
        </is>
      </c>
    </row>
    <row r="4" ht="32" customHeight="1">
      <c r="A4" s="4" t="inlineStr">
        <is>
          <t>Run (UTC)</t>
        </is>
      </c>
      <c r="B4" s="4" t="inlineStr">
        <is>
          <t>KRI Red</t>
        </is>
      </c>
      <c r="C4" s="4" t="inlineStr">
        <is>
          <t>KRI Amber</t>
        </is>
      </c>
      <c r="D4" s="4" t="inlineStr">
        <is>
          <t>KRI Green</t>
        </is>
      </c>
      <c r="E4" s="4" t="inlineStr">
        <is>
          <t>Changes High+</t>
        </is>
      </c>
      <c r="F4" s="4" t="inlineStr">
        <is>
          <t>Changes total</t>
        </is>
      </c>
      <c r="G4" s="4" t="inlineStr">
        <is>
          <t>KEV hits</t>
        </is>
      </c>
      <c r="H4" s="4" t="inlineStr">
        <is>
          <t>Alert</t>
        </is>
      </c>
    </row>
    <row r="5">
      <c r="A5" s="5" t="inlineStr">
        <is>
          <t>2026-10-14T18:46:24Z</t>
        </is>
      </c>
      <c r="B5" s="5" t="n">
        <v>6</v>
      </c>
      <c r="C5" s="5" t="n">
        <v>9</v>
      </c>
      <c r="D5" s="5" t="n">
        <v>0</v>
      </c>
      <c r="E5" s="5" t="n">
        <v>0</v>
      </c>
      <c r="F5" s="5" t="n">
        <v>0</v>
      </c>
      <c r="G5" s="5" t="n">
        <v>0</v>
      </c>
      <c r="H5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2026-10-14T18:48:30Z</dcterms:created>
  <dcterms:modified xsi:type="dcterms:W3CDTF">2026-10-14T18:48:30Z</dcterms:modified>
</cp:coreProperties>
</file>