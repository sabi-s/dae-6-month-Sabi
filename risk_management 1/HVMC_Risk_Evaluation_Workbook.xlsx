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 &amp; Weights" sheetId="1" state="visible" r:id="rId1"/>
    <sheet name="Weighted Scoring" sheetId="2" state="visible" r:id="rId2"/>
    <sheet name="BIA" sheetId="3" state="visible" r:id="rId3"/>
    <sheet name="Asset Exposure Register" sheetId="4" state="visible" r:id="rId4"/>
    <sheet name="Approval" sheetId="5" state="visible" r:id="rId5"/>
  </sheets>
  <definedNames>
    <definedName name="_xlnm._FilterDatabase" localSheetId="1" hidden="1">'Weighted Scoring'!$A$4:$Q$20</definedName>
    <definedName name="_xlnm._FilterDatabase" localSheetId="3" hidden="1">'Asset Exposure Register'!$A$4:$P$15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&quot;$&quot;#,##0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7A90"/>
    </font>
    <font>
      <b val="1"/>
      <color rgb="001F3864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6" fontId="0" fillId="0" borderId="0" pivotButton="0" quotePrefix="0" xfId="0"/>
    <xf numFmtId="9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B3261E"/>
        </patternFill>
      </fill>
    </dxf>
    <dxf>
      <font>
        <b val="1"/>
        <color rgb="00FFFFFF"/>
      </font>
      <fill>
        <patternFill patternType="solid">
          <fgColor rgb="00E8710A"/>
        </patternFill>
      </fill>
    </dxf>
    <dxf>
      <font>
        <b val="1"/>
        <color rgb="00222222"/>
      </font>
      <fill>
        <patternFill patternType="solid">
          <fgColor rgb="00F2C037"/>
        </patternFill>
      </fill>
    </dxf>
    <dxf>
      <font>
        <b val="1"/>
        <color rgb="00FFFFFF"/>
      </font>
      <fill>
        <patternFill patternType="solid">
          <fgColor rgb="005AA46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0"/>
  <sheetViews>
    <sheetView zoomScale="110"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26" customWidth="1" min="4" max="4"/>
    <col width="26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HVMC Multi-Criteria Risk Evaluation — Criteria and Weights</t>
        </is>
      </c>
    </row>
    <row r="2">
      <c r="A2" s="2" t="inlineStr">
        <is>
          <t>Version 1.0 · October 14, 2026 · Weights derived by AHP pairwise comparison (yellow = inputs)</t>
        </is>
      </c>
    </row>
    <row r="4">
      <c r="A4" s="3" t="inlineStr">
        <is>
          <t>Pairwise comparison (row vs column, Saaty 1–9 scale)</t>
        </is>
      </c>
    </row>
    <row r="5" ht="32" customHeight="1">
      <c r="A5" s="4" t="inlineStr">
        <is>
          <t>Factor</t>
        </is>
      </c>
      <c r="B5" s="4" t="inlineStr">
        <is>
          <t>Financial</t>
        </is>
      </c>
      <c r="C5" s="4" t="inlineStr">
        <is>
          <t>Operational</t>
        </is>
      </c>
      <c r="D5" s="4" t="inlineStr">
        <is>
          <t>Compliance</t>
        </is>
      </c>
      <c r="E5" s="4" t="inlineStr">
        <is>
          <t>Reputation</t>
        </is>
      </c>
      <c r="F5" s="4" t="inlineStr">
        <is>
          <t>Geometric mean</t>
        </is>
      </c>
      <c r="G5" s="4" t="inlineStr">
        <is>
          <t>Weight (exact)</t>
        </is>
      </c>
      <c r="H5" s="4" t="inlineStr">
        <is>
          <t>Weight (used)</t>
        </is>
      </c>
    </row>
    <row r="6">
      <c r="A6" s="5" t="inlineStr">
        <is>
          <t>Financial</t>
        </is>
      </c>
      <c r="B6" s="6" t="n">
        <v>1</v>
      </c>
      <c r="C6" s="7" t="n">
        <v>0.5</v>
      </c>
      <c r="D6" s="7" t="n">
        <v>0.5</v>
      </c>
      <c r="E6" s="7" t="n">
        <v>2</v>
      </c>
      <c r="F6" s="6">
        <f>(B6*C6*D6*E6)^(1/4)</f>
        <v/>
      </c>
      <c r="G6" s="8">
        <f>F6/SUM($F$6:$F$9)</f>
        <v/>
      </c>
      <c r="H6" s="9" t="n">
        <v>0.19</v>
      </c>
    </row>
    <row r="7">
      <c r="A7" s="5" t="inlineStr">
        <is>
          <t>Operational</t>
        </is>
      </c>
      <c r="B7" s="6" t="n">
        <v>2</v>
      </c>
      <c r="C7" s="6" t="n">
        <v>1</v>
      </c>
      <c r="D7" s="7" t="n">
        <v>1</v>
      </c>
      <c r="E7" s="7" t="n">
        <v>3</v>
      </c>
      <c r="F7" s="6">
        <f>(B7*C7*D7*E7)^(1/4)</f>
        <v/>
      </c>
      <c r="G7" s="8">
        <f>F7/SUM($F$6:$F$9)</f>
        <v/>
      </c>
      <c r="H7" s="9" t="n">
        <v>0.36</v>
      </c>
    </row>
    <row r="8">
      <c r="A8" s="5" t="inlineStr">
        <is>
          <t>Compliance</t>
        </is>
      </c>
      <c r="B8" s="6" t="n">
        <v>2</v>
      </c>
      <c r="C8" s="6" t="n">
        <v>1</v>
      </c>
      <c r="D8" s="6" t="n">
        <v>1</v>
      </c>
      <c r="E8" s="7" t="n">
        <v>2</v>
      </c>
      <c r="F8" s="6">
        <f>(B8*C8*D8*E8)^(1/4)</f>
        <v/>
      </c>
      <c r="G8" s="8">
        <f>F8/SUM($F$6:$F$9)</f>
        <v/>
      </c>
      <c r="H8" s="9" t="n">
        <v>0.33</v>
      </c>
    </row>
    <row r="9">
      <c r="A9" s="5" t="inlineStr">
        <is>
          <t>Reputation</t>
        </is>
      </c>
      <c r="B9" s="6" t="n">
        <v>0.5</v>
      </c>
      <c r="C9" s="6" t="n">
        <v>0.3333333333333333</v>
      </c>
      <c r="D9" s="6" t="n">
        <v>0.5</v>
      </c>
      <c r="E9" s="6" t="n">
        <v>1</v>
      </c>
      <c r="F9" s="6">
        <f>(B9*C9*D9*E9)^(1/4)</f>
        <v/>
      </c>
      <c r="G9" s="8">
        <f>F9/SUM($F$6:$F$9)</f>
        <v/>
      </c>
      <c r="H9" s="9" t="n">
        <v>0.12</v>
      </c>
    </row>
    <row r="10">
      <c r="A10" s="5" t="inlineStr">
        <is>
          <t>Total</t>
        </is>
      </c>
      <c r="G10" s="10">
        <f>SUM(G6:G9)</f>
        <v/>
      </c>
      <c r="H10" s="9">
        <f>SUM(H6:H9)</f>
        <v/>
      </c>
    </row>
    <row r="12">
      <c r="A12" s="11" t="inlineStr">
        <is>
          <t>λmax</t>
        </is>
      </c>
      <c r="B12" t="n">
        <v>4.0457</v>
      </c>
    </row>
    <row r="13">
      <c r="A13" s="11" t="inlineStr">
        <is>
          <t>Consistency index CI = (λmax − n)/(n − 1)</t>
        </is>
      </c>
      <c r="B13">
        <f>(B12-4)/3</f>
        <v/>
      </c>
    </row>
    <row r="14">
      <c r="A14" s="11" t="inlineStr">
        <is>
          <t>Random index RI (n = 4)</t>
        </is>
      </c>
      <c r="B14" t="n">
        <v>0.9</v>
      </c>
    </row>
    <row r="15">
      <c r="A15" s="11" t="inlineStr">
        <is>
          <t>Consistency ratio CR = CI/RI (must be &lt; 0.10)</t>
        </is>
      </c>
      <c r="B15" s="12">
        <f>B13/B14</f>
        <v/>
      </c>
      <c r="C15">
        <f>IF(B15&lt;0.1,"Consistent ✓","Revise comparisons")</f>
        <v/>
      </c>
    </row>
    <row r="17">
      <c r="A17" s="3" t="inlineStr">
        <is>
          <t>Measurement scales (score 1–5)</t>
        </is>
      </c>
    </row>
    <row r="18">
      <c r="A18" s="13" t="inlineStr">
        <is>
          <t>Score</t>
        </is>
      </c>
      <c r="B18" s="13" t="inlineStr">
        <is>
          <t>Financial</t>
        </is>
      </c>
      <c r="C18" s="13" t="inlineStr">
        <is>
          <t>Operational</t>
        </is>
      </c>
      <c r="D18" s="13" t="inlineStr">
        <is>
          <t>Compliance</t>
        </is>
      </c>
      <c r="E18" s="13" t="inlineStr">
        <is>
          <t>Reputation</t>
        </is>
      </c>
    </row>
    <row r="19" ht="42" customHeight="1">
      <c r="A19" s="5" t="n">
        <v>1</v>
      </c>
      <c r="B19" s="14" t="inlineStr">
        <is>
          <t>&lt; $10K</t>
        </is>
      </c>
      <c r="C19" s="14" t="inlineStr">
        <is>
          <t>No service impact</t>
        </is>
      </c>
      <c r="D19" s="14" t="inlineStr">
        <is>
          <t>No regulatory issue</t>
        </is>
      </c>
      <c r="E19" s="14" t="inlineStr">
        <is>
          <t>No external awareness</t>
        </is>
      </c>
    </row>
    <row r="20" ht="42" customHeight="1">
      <c r="A20" s="5" t="n">
        <v>2</v>
      </c>
      <c r="B20" s="14" t="inlineStr">
        <is>
          <t>$10K – $100K</t>
        </is>
      </c>
      <c r="C20" s="14" t="inlineStr">
        <is>
          <t>Non-clinical service degraded &lt; 4 h</t>
        </is>
      </c>
      <c r="D20" s="14" t="inlineStr">
        <is>
          <t>Internal policy breach only</t>
        </is>
      </c>
      <c r="E20" s="14" t="inlineStr">
        <is>
          <t>Individual patient complaints</t>
        </is>
      </c>
    </row>
    <row r="21" ht="42" customHeight="1">
      <c r="A21" s="5" t="n">
        <v>3</v>
      </c>
      <c r="B21" s="14" t="inlineStr">
        <is>
          <t>$100K – $500K</t>
        </is>
      </c>
      <c r="C21" s="14" t="inlineStr">
        <is>
          <t>Clinical workflow on downtime procedures &lt; 24 h</t>
        </is>
      </c>
      <c r="D21" s="14" t="inlineStr">
        <is>
          <t>HIPAA violation &lt; 500 records (annual HHS log)</t>
        </is>
      </c>
      <c r="E21" s="14" t="inlineStr">
        <is>
          <t>Local media coverage</t>
        </is>
      </c>
    </row>
    <row r="22" ht="42" customHeight="1">
      <c r="A22" s="5" t="n">
        <v>4</v>
      </c>
      <c r="B22" s="14" t="inlineStr">
        <is>
          <t>$500K – $2M</t>
        </is>
      </c>
      <c r="C22" s="14" t="inlineStr">
        <is>
          <t>Clinical system down 1–3 days, or temporary patient harm possible</t>
        </is>
      </c>
      <c r="D22" s="14" t="inlineStr">
        <is>
          <t>Reportable breach ≥ 500 records; OCR investigation</t>
        </is>
      </c>
      <c r="E22" s="14" t="inlineStr">
        <is>
          <t>Regional media; measurable patient attrition</t>
        </is>
      </c>
    </row>
    <row r="23" ht="42" customHeight="1">
      <c r="A23" s="5" t="n">
        <v>5</v>
      </c>
      <c r="B23" s="14" t="inlineStr">
        <is>
          <t>&gt; $2M</t>
        </is>
      </c>
      <c r="C23" s="14" t="inlineStr">
        <is>
          <t>Clinical system down &gt; 3 days, or serious patient harm</t>
        </is>
      </c>
      <c r="D23" s="14" t="inlineStr">
        <is>
          <t>OCR Tier 3–4 penalty / corrective action plan; state AG action</t>
        </is>
      </c>
      <c r="E23" s="14" t="inlineStr">
        <is>
          <t>National media; lasting loss of trust</t>
        </is>
      </c>
    </row>
    <row r="25">
      <c r="A25" s="3" t="inlineStr">
        <is>
          <t>Rules</t>
        </is>
      </c>
    </row>
    <row r="26">
      <c r="A26" t="inlineStr">
        <is>
          <t>1. Weighted impact WI = Σ (weight × factor score), range 1–5</t>
        </is>
      </c>
    </row>
    <row r="27">
      <c r="A27" t="inlineStr">
        <is>
          <t>2. Weighted risk score = Likelihood (1–5) × WI, range 1–25</t>
        </is>
      </c>
    </row>
    <row r="28">
      <c r="A28" t="inlineStr">
        <is>
          <t>3. Bands: Critical ≥ 20 · High 12–19.99 · Medium 6–11.99 · Low &lt; 6</t>
        </is>
      </c>
    </row>
    <row r="29">
      <c r="A29" t="inlineStr">
        <is>
          <t>4. Critical-factor floor: any factor = 5 with Likelihood ≥ 3 → rating at least High</t>
        </is>
      </c>
    </row>
    <row r="30">
      <c r="A30" t="inlineStr">
        <is>
          <t>5. Patient safety is scored inside Operational; Operational = 5 always escalates to the Security &amp; Risk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Q20"/>
  <sheetViews>
    <sheetView zoomScale="11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2" customWidth="1" min="12" max="12"/>
    <col width="11" customWidth="1" min="13" max="13"/>
    <col width="10" customWidth="1" min="14" max="14"/>
    <col width="10" customWidth="1" min="15" max="15"/>
    <col width="50" customWidth="1" min="16" max="16"/>
    <col width="18" customWidth="1" min="17" max="17"/>
  </cols>
  <sheetData>
    <row r="1">
      <c r="A1" s="1" t="inlineStr">
        <is>
          <t>Multi-Criteria Weighted Risk Scores</t>
        </is>
      </c>
    </row>
    <row r="2">
      <c r="A2" s="2" t="inlineStr">
        <is>
          <t>Factor scores are inputs; WI, score and rating are formulas linked to Criteria &amp; Weights!H6:H9</t>
        </is>
      </c>
    </row>
    <row r="4" ht="32" customHeight="1">
      <c r="A4" s="4" t="inlineStr">
        <is>
          <t>ID</t>
        </is>
      </c>
      <c r="B4" s="4" t="inlineStr">
        <is>
          <t>Risk</t>
        </is>
      </c>
      <c r="C4" s="4" t="inlineStr">
        <is>
          <t>Likelihood</t>
        </is>
      </c>
      <c r="D4" s="4" t="inlineStr">
        <is>
          <t>Financial</t>
        </is>
      </c>
      <c r="E4" s="4" t="inlineStr">
        <is>
          <t>Operational</t>
        </is>
      </c>
      <c r="F4" s="4" t="inlineStr">
        <is>
          <t>Compliance</t>
        </is>
      </c>
      <c r="G4" s="4" t="inlineStr">
        <is>
          <t>Reputation</t>
        </is>
      </c>
      <c r="H4" s="4" t="inlineStr">
        <is>
          <t>Weighted impact</t>
        </is>
      </c>
      <c r="I4" s="4" t="inlineStr">
        <is>
          <t>Weighted score</t>
        </is>
      </c>
      <c r="J4" s="4" t="inlineStr">
        <is>
          <t>Base rating</t>
        </is>
      </c>
      <c r="K4" s="4" t="inlineStr">
        <is>
          <t>Floor rule?</t>
        </is>
      </c>
      <c r="L4" s="4" t="inlineStr">
        <is>
          <t>Final rating</t>
        </is>
      </c>
      <c r="M4" s="4" t="inlineStr">
        <is>
          <t>Previous 5×5 score</t>
        </is>
      </c>
      <c r="N4" s="4" t="inlineStr">
        <is>
          <t>Rank (previous)</t>
        </is>
      </c>
      <c r="O4" s="4" t="inlineStr">
        <is>
          <t>Rank (weighted)</t>
        </is>
      </c>
      <c r="P4" s="4" t="inlineStr">
        <is>
          <t>Scoring rationale</t>
        </is>
      </c>
      <c r="Q4" s="4" t="inlineStr">
        <is>
          <t>Owner</t>
        </is>
      </c>
    </row>
    <row r="5">
      <c r="A5" s="14" t="inlineStr">
        <is>
          <t>R01</t>
        </is>
      </c>
      <c r="B5" s="14" t="inlineStr">
        <is>
          <t>Security incident goes undetected for months (no central logging or alerting)</t>
        </is>
      </c>
      <c r="C5" s="15" t="n">
        <v>4</v>
      </c>
      <c r="D5" s="15" t="n">
        <v>5</v>
      </c>
      <c r="E5" s="15" t="n">
        <v>3</v>
      </c>
      <c r="F5" s="15" t="n">
        <v>5</v>
      </c>
      <c r="G5" s="15" t="n">
        <v>4</v>
      </c>
      <c r="H5" s="16">
        <f>D5*'Criteria &amp; Weights'!$H$6+E5*'Criteria &amp; Weights'!$H$7+F5*'Criteria &amp; Weights'!$H$8+G5*'Criteria &amp; Weights'!$H$9</f>
        <v/>
      </c>
      <c r="I5" s="16">
        <f>C5*H5</f>
        <v/>
      </c>
      <c r="J5" s="14">
        <f>IF(I5&gt;=20,"Critical",IF(I5&gt;=12,"High",IF(I5&gt;=6,"Medium","Low")))</f>
        <v/>
      </c>
      <c r="K5" s="14">
        <f>IF(AND(MAX(D5:G5)=5,C5&gt;=3,OR(J5="Low",J5="Medium")),"Yes","")</f>
        <v/>
      </c>
      <c r="L5" s="14">
        <f>IF(K5="Yes","High",J5)</f>
        <v/>
      </c>
      <c r="M5" s="14" t="n">
        <v>20</v>
      </c>
      <c r="N5" s="14" t="n">
        <v>1</v>
      </c>
      <c r="O5" s="14">
        <f>RANK(I5,$I$5:$I$20)</f>
        <v/>
      </c>
      <c r="P5" s="14" t="inlineStr">
        <is>
          <t>Undetected breach multiplies cost; HIPAA audit-control failure; delayed disclosure draws media</t>
        </is>
      </c>
      <c r="Q5" s="14" t="inlineStr">
        <is>
          <t>Fatima Ali</t>
        </is>
      </c>
    </row>
    <row r="6">
      <c r="A6" s="14" t="inlineStr">
        <is>
          <t>R05</t>
        </is>
      </c>
      <c r="B6" s="14" t="inlineStr">
        <is>
          <t>Ransomware or malicious deletion destroys EHR data</t>
        </is>
      </c>
      <c r="C6" s="15" t="n">
        <v>3</v>
      </c>
      <c r="D6" s="15" t="n">
        <v>5</v>
      </c>
      <c r="E6" s="15" t="n">
        <v>5</v>
      </c>
      <c r="F6" s="15" t="n">
        <v>4</v>
      </c>
      <c r="G6" s="15" t="n">
        <v>5</v>
      </c>
      <c r="H6" s="16">
        <f>D6*'Criteria &amp; Weights'!$H$6+E6*'Criteria &amp; Weights'!$H$7+F6*'Criteria &amp; Weights'!$H$8+G6*'Criteria &amp; Weights'!$H$9</f>
        <v/>
      </c>
      <c r="I6" s="16">
        <f>C6*H6</f>
        <v/>
      </c>
      <c r="J6" s="14">
        <f>IF(I6&gt;=20,"Critical",IF(I6&gt;=12,"High",IF(I6&gt;=6,"Medium","Low")))</f>
        <v/>
      </c>
      <c r="K6" s="14">
        <f>IF(AND(MAX(D6:G6)=5,C6&gt;=3,OR(J6="Low",J6="Medium")),"Yes","")</f>
        <v/>
      </c>
      <c r="L6" s="14">
        <f>IF(K6="Yes","High",J6)</f>
        <v/>
      </c>
      <c r="M6" s="14" t="n">
        <v>15</v>
      </c>
      <c r="N6" s="14" t="n">
        <v>5</v>
      </c>
      <c r="O6" s="14">
        <f>RANK(I6,$I$5:$I$20)</f>
        <v/>
      </c>
      <c r="P6" s="14" t="inlineStr">
        <is>
          <t>Multi-day EHR outage, ambulance diversion, unrecoverable records</t>
        </is>
      </c>
      <c r="Q6" s="14" t="inlineStr">
        <is>
          <t>Fatima Ali</t>
        </is>
      </c>
    </row>
    <row r="7">
      <c r="A7" s="14" t="inlineStr">
        <is>
          <t>R03</t>
        </is>
      </c>
      <c r="B7" s="14" t="inlineStr">
        <is>
          <t>Lateral movement from Web tier to Data tier</t>
        </is>
      </c>
      <c r="C7" s="15" t="n">
        <v>3</v>
      </c>
      <c r="D7" s="15" t="n">
        <v>5</v>
      </c>
      <c r="E7" s="15" t="n">
        <v>4</v>
      </c>
      <c r="F7" s="15" t="n">
        <v>5</v>
      </c>
      <c r="G7" s="15" t="n">
        <v>4</v>
      </c>
      <c r="H7" s="16">
        <f>D7*'Criteria &amp; Weights'!$H$6+E7*'Criteria &amp; Weights'!$H$7+F7*'Criteria &amp; Weights'!$H$8+G7*'Criteria &amp; Weights'!$H$9</f>
        <v/>
      </c>
      <c r="I7" s="16">
        <f>C7*H7</f>
        <v/>
      </c>
      <c r="J7" s="14">
        <f>IF(I7&gt;=20,"Critical",IF(I7&gt;=12,"High",IF(I7&gt;=6,"Medium","Low")))</f>
        <v/>
      </c>
      <c r="K7" s="14">
        <f>IF(AND(MAX(D7:G7)=5,C7&gt;=3,OR(J7="Low",J7="Medium")),"Yes","")</f>
        <v/>
      </c>
      <c r="L7" s="14">
        <f>IF(K7="Yes","High",J7)</f>
        <v/>
      </c>
      <c r="M7" s="14" t="n">
        <v>15</v>
      </c>
      <c r="N7" s="14" t="n">
        <v>4</v>
      </c>
      <c r="O7" s="14">
        <f>RANK(I7,$I$5:$I$20)</f>
        <v/>
      </c>
      <c r="P7" s="14" t="inlineStr">
        <is>
          <t>Database compromise allows ePHI theft and dose/result tampering (patient safety)</t>
        </is>
      </c>
      <c r="Q7" s="14" t="inlineStr">
        <is>
          <t>Fatima Ali</t>
        </is>
      </c>
    </row>
    <row r="8">
      <c r="A8" s="14" t="inlineStr">
        <is>
          <t>R10</t>
        </is>
      </c>
      <c r="B8" s="14" t="inlineStr">
        <is>
          <t>Remote code execution via Apache 2.4.7 mod_lua (CVE-2021-44790, CVSS 9.8)</t>
        </is>
      </c>
      <c r="C8" s="15" t="n">
        <v>4</v>
      </c>
      <c r="D8" s="15" t="n">
        <v>4</v>
      </c>
      <c r="E8" s="15" t="n">
        <v>3</v>
      </c>
      <c r="F8" s="15" t="n">
        <v>3</v>
      </c>
      <c r="G8" s="15" t="n">
        <v>3</v>
      </c>
      <c r="H8" s="16">
        <f>D8*'Criteria &amp; Weights'!$H$6+E8*'Criteria &amp; Weights'!$H$7+F8*'Criteria &amp; Weights'!$H$8+G8*'Criteria &amp; Weights'!$H$9</f>
        <v/>
      </c>
      <c r="I8" s="16">
        <f>C8*H8</f>
        <v/>
      </c>
      <c r="J8" s="14">
        <f>IF(I8&gt;=20,"Critical",IF(I8&gt;=12,"High",IF(I8&gt;=6,"Medium","Low")))</f>
        <v/>
      </c>
      <c r="K8" s="14">
        <f>IF(AND(MAX(D8:G8)=5,C8&gt;=3,OR(J8="Low",J8="Medium")),"Yes","")</f>
        <v/>
      </c>
      <c r="L8" s="14">
        <f>IF(K8="Yes","High",J8)</f>
        <v/>
      </c>
      <c r="M8" s="14" t="n">
        <v>20</v>
      </c>
      <c r="N8" s="14" t="n">
        <v>2</v>
      </c>
      <c r="O8" s="14">
        <f>RANK(I8,$I$5:$I$20)</f>
        <v/>
      </c>
      <c r="P8" s="14" t="inlineStr">
        <is>
          <t>Public web server compromise; legacy lab target, no ePHI stored</t>
        </is>
      </c>
      <c r="Q8" s="14" t="inlineStr">
        <is>
          <t>Kevin O'Brien</t>
        </is>
      </c>
    </row>
    <row r="9">
      <c r="A9" s="14" t="inlineStr">
        <is>
          <t>R02</t>
        </is>
      </c>
      <c r="B9" s="14" t="inlineStr">
        <is>
          <t>ePHI exfiltration from EHR storage over the public internet</t>
        </is>
      </c>
      <c r="C9" s="15" t="n">
        <v>3</v>
      </c>
      <c r="D9" s="15" t="n">
        <v>5</v>
      </c>
      <c r="E9" s="15" t="n">
        <v>2</v>
      </c>
      <c r="F9" s="15" t="n">
        <v>5</v>
      </c>
      <c r="G9" s="15" t="n">
        <v>5</v>
      </c>
      <c r="H9" s="16">
        <f>D9*'Criteria &amp; Weights'!$H$6+E9*'Criteria &amp; Weights'!$H$7+F9*'Criteria &amp; Weights'!$H$8+G9*'Criteria &amp; Weights'!$H$9</f>
        <v/>
      </c>
      <c r="I9" s="16">
        <f>C9*H9</f>
        <v/>
      </c>
      <c r="J9" s="14">
        <f>IF(I9&gt;=20,"Critical",IF(I9&gt;=12,"High",IF(I9&gt;=6,"Medium","Low")))</f>
        <v/>
      </c>
      <c r="K9" s="14">
        <f>IF(AND(MAX(D9:G9)=5,C9&gt;=3,OR(J9="Low",J9="Medium")),"Yes","")</f>
        <v/>
      </c>
      <c r="L9" s="14">
        <f>IF(K9="Yes","High",J9)</f>
        <v/>
      </c>
      <c r="M9" s="14" t="n">
        <v>15</v>
      </c>
      <c r="N9" s="14" t="n">
        <v>3</v>
      </c>
      <c r="O9" s="14">
        <f>RANK(I9,$I$5:$I$20)</f>
        <v/>
      </c>
      <c r="P9" s="14" t="inlineStr">
        <is>
          <t>Bulk ePHI exposure: breach cost + OCR investigation + national coverage; EHR keeps running</t>
        </is>
      </c>
      <c r="Q9" s="14" t="inlineStr">
        <is>
          <t>Fatima Ali</t>
        </is>
      </c>
    </row>
    <row r="10">
      <c r="A10" s="14" t="inlineStr">
        <is>
          <t>R11</t>
        </is>
      </c>
      <c r="B10" s="14" t="inlineStr">
        <is>
          <t>Malware uploaded to EHR storage is not detected</t>
        </is>
      </c>
      <c r="C10" s="15" t="n">
        <v>3</v>
      </c>
      <c r="D10" s="15" t="n">
        <v>3</v>
      </c>
      <c r="E10" s="15" t="n">
        <v>4</v>
      </c>
      <c r="F10" s="15" t="n">
        <v>3</v>
      </c>
      <c r="G10" s="15" t="n">
        <v>3</v>
      </c>
      <c r="H10" s="16">
        <f>D10*'Criteria &amp; Weights'!$H$6+E10*'Criteria &amp; Weights'!$H$7+F10*'Criteria &amp; Weights'!$H$8+G10*'Criteria &amp; Weights'!$H$9</f>
        <v/>
      </c>
      <c r="I10" s="16">
        <f>C10*H10</f>
        <v/>
      </c>
      <c r="J10" s="14">
        <f>IF(I10&gt;=20,"Critical",IF(I10&gt;=12,"High",IF(I10&gt;=6,"Medium","Low")))</f>
        <v/>
      </c>
      <c r="K10" s="14">
        <f>IF(AND(MAX(D10:G10)=5,C10&gt;=3,OR(J10="Low",J10="Medium")),"Yes","")</f>
        <v/>
      </c>
      <c r="L10" s="14">
        <f>IF(K10="Yes","High",J10)</f>
        <v/>
      </c>
      <c r="M10" s="14" t="n">
        <v>12</v>
      </c>
      <c r="N10" s="14" t="n">
        <v>9</v>
      </c>
      <c r="O10" s="14">
        <f>RANK(I10,$I$5:$I$20)</f>
        <v/>
      </c>
      <c r="P10" s="14" t="inlineStr">
        <is>
          <t>Malware spreads to clinical workstations; downtime procedures needed</t>
        </is>
      </c>
      <c r="Q10" s="14" t="inlineStr">
        <is>
          <t>Denise Coleman</t>
        </is>
      </c>
    </row>
    <row r="11">
      <c r="A11" s="14" t="inlineStr">
        <is>
          <t>R04</t>
        </is>
      </c>
      <c r="B11" s="14" t="inlineStr">
        <is>
          <t>Loss or takeover of the only Global Administrator account</t>
        </is>
      </c>
      <c r="C11" s="15" t="n">
        <v>3</v>
      </c>
      <c r="D11" s="15" t="n">
        <v>3</v>
      </c>
      <c r="E11" s="15" t="n">
        <v>4</v>
      </c>
      <c r="F11" s="15" t="n">
        <v>3</v>
      </c>
      <c r="G11" s="15" t="n">
        <v>2</v>
      </c>
      <c r="H11" s="16">
        <f>D11*'Criteria &amp; Weights'!$H$6+E11*'Criteria &amp; Weights'!$H$7+F11*'Criteria &amp; Weights'!$H$8+G11*'Criteria &amp; Weights'!$H$9</f>
        <v/>
      </c>
      <c r="I11" s="16">
        <f>C11*H11</f>
        <v/>
      </c>
      <c r="J11" s="14">
        <f>IF(I11&gt;=20,"Critical",IF(I11&gt;=12,"High",IF(I11&gt;=6,"Medium","Low")))</f>
        <v/>
      </c>
      <c r="K11" s="14">
        <f>IF(AND(MAX(D11:G11)=5,C11&gt;=3,OR(J11="Low",J11="Medium")),"Yes","")</f>
        <v/>
      </c>
      <c r="L11" s="14">
        <f>IF(K11="Yes","High",J11)</f>
        <v/>
      </c>
      <c r="M11" s="14" t="n">
        <v>12</v>
      </c>
      <c r="N11" s="14" t="n">
        <v>7</v>
      </c>
      <c r="O11" s="14">
        <f>RANK(I11,$I$5:$I$20)</f>
        <v/>
      </c>
      <c r="P11" s="14" t="inlineStr">
        <is>
          <t>Admin lockout halts recovery and change for days; limited direct data exposure</t>
        </is>
      </c>
      <c r="Q11" s="14" t="inlineStr">
        <is>
          <t>Sabitha S Karanavar</t>
        </is>
      </c>
    </row>
    <row r="12">
      <c r="A12" s="14" t="inlineStr">
        <is>
          <t>R09</t>
        </is>
      </c>
      <c r="B12" s="14" t="inlineStr">
        <is>
          <t>Remote code execution via OpenSSH 6.6.1p1 (CVE-2023-38408, CVSS 9.8)</t>
        </is>
      </c>
      <c r="C12" s="15" t="n">
        <v>3</v>
      </c>
      <c r="D12" s="15" t="n">
        <v>4</v>
      </c>
      <c r="E12" s="15" t="n">
        <v>3</v>
      </c>
      <c r="F12" s="15" t="n">
        <v>3</v>
      </c>
      <c r="G12" s="15" t="n">
        <v>3</v>
      </c>
      <c r="H12" s="16">
        <f>D12*'Criteria &amp; Weights'!$H$6+E12*'Criteria &amp; Weights'!$H$7+F12*'Criteria &amp; Weights'!$H$8+G12*'Criteria &amp; Weights'!$H$9</f>
        <v/>
      </c>
      <c r="I12" s="16">
        <f>C12*H12</f>
        <v/>
      </c>
      <c r="J12" s="14">
        <f>IF(I12&gt;=20,"Critical",IF(I12&gt;=12,"High",IF(I12&gt;=6,"Medium","Low")))</f>
        <v/>
      </c>
      <c r="K12" s="14">
        <f>IF(AND(MAX(D12:G12)=5,C12&gt;=3,OR(J12="Low",J12="Medium")),"Yes","")</f>
        <v/>
      </c>
      <c r="L12" s="14">
        <f>IF(K12="Yes","High",J12)</f>
        <v/>
      </c>
      <c r="M12" s="14" t="n">
        <v>15</v>
      </c>
      <c r="N12" s="14" t="n">
        <v>6</v>
      </c>
      <c r="O12" s="14">
        <f>RANK(I12,$I$5:$I$20)</f>
        <v/>
      </c>
      <c r="P12" s="14" t="inlineStr">
        <is>
          <t>Host takeover; legacy lab target, no ePHI stored</t>
        </is>
      </c>
      <c r="Q12" s="14" t="inlineStr">
        <is>
          <t>Kevin O'Brien</t>
        </is>
      </c>
    </row>
    <row r="13">
      <c r="A13" s="14" t="inlineStr">
        <is>
          <t>R08</t>
        </is>
      </c>
      <c r="B13" s="14" t="inlineStr">
        <is>
          <t>Consent phishing or rogue app via open tenant settings</t>
        </is>
      </c>
      <c r="C13" s="15" t="n">
        <v>3</v>
      </c>
      <c r="D13" s="15" t="n">
        <v>3</v>
      </c>
      <c r="E13" s="15" t="n">
        <v>2</v>
      </c>
      <c r="F13" s="15" t="n">
        <v>4</v>
      </c>
      <c r="G13" s="15" t="n">
        <v>3</v>
      </c>
      <c r="H13" s="16">
        <f>D13*'Criteria &amp; Weights'!$H$6+E13*'Criteria &amp; Weights'!$H$7+F13*'Criteria &amp; Weights'!$H$8+G13*'Criteria &amp; Weights'!$H$9</f>
        <v/>
      </c>
      <c r="I13" s="16">
        <f>C13*H13</f>
        <v/>
      </c>
      <c r="J13" s="14">
        <f>IF(I13&gt;=20,"Critical",IF(I13&gt;=12,"High",IF(I13&gt;=6,"Medium","Low")))</f>
        <v/>
      </c>
      <c r="K13" s="14">
        <f>IF(AND(MAX(D13:G13)=5,C13&gt;=3,OR(J13="Low",J13="Medium")),"Yes","")</f>
        <v/>
      </c>
      <c r="L13" s="14">
        <f>IF(K13="Yes","High",J13)</f>
        <v/>
      </c>
      <c r="M13" s="14" t="n">
        <v>12</v>
      </c>
      <c r="N13" s="14" t="n">
        <v>8</v>
      </c>
      <c r="O13" s="14">
        <f>RANK(I13,$I$5:$I$20)</f>
        <v/>
      </c>
      <c r="P13" s="14" t="inlineStr">
        <is>
          <t>Malicious app reads user data; OCR-reportable if PHI involved</t>
        </is>
      </c>
      <c r="Q13" s="14" t="inlineStr">
        <is>
          <t>Sabitha S Karanavar</t>
        </is>
      </c>
    </row>
    <row r="14">
      <c r="A14" s="14" t="inlineStr">
        <is>
          <t>R12</t>
        </is>
      </c>
      <c r="B14" s="14" t="inlineStr">
        <is>
          <t>Clinician credentials stolen by MFA-bypass (AiTM) phishing</t>
        </is>
      </c>
      <c r="C14" s="15" t="n">
        <v>3</v>
      </c>
      <c r="D14" s="15" t="n">
        <v>3</v>
      </c>
      <c r="E14" s="15" t="n">
        <v>2</v>
      </c>
      <c r="F14" s="15" t="n">
        <v>4</v>
      </c>
      <c r="G14" s="15" t="n">
        <v>3</v>
      </c>
      <c r="H14" s="16">
        <f>D14*'Criteria &amp; Weights'!$H$6+E14*'Criteria &amp; Weights'!$H$7+F14*'Criteria &amp; Weights'!$H$8+G14*'Criteria &amp; Weights'!$H$9</f>
        <v/>
      </c>
      <c r="I14" s="16">
        <f>C14*H14</f>
        <v/>
      </c>
      <c r="J14" s="14">
        <f>IF(I14&gt;=20,"Critical",IF(I14&gt;=12,"High",IF(I14&gt;=6,"Medium","Low")))</f>
        <v/>
      </c>
      <c r="K14" s="14">
        <f>IF(AND(MAX(D14:G14)=5,C14&gt;=3,OR(J14="Low",J14="Medium")),"Yes","")</f>
        <v/>
      </c>
      <c r="L14" s="14">
        <f>IF(K14="Yes","High",J14)</f>
        <v/>
      </c>
      <c r="M14" s="14" t="n">
        <v>12</v>
      </c>
      <c r="N14" s="14" t="n">
        <v>10</v>
      </c>
      <c r="O14" s="14">
        <f>RANK(I14,$I$5:$I$20)</f>
        <v/>
      </c>
      <c r="P14" s="14" t="inlineStr">
        <is>
          <t>One clinician's EHR access misused; limited record count</t>
        </is>
      </c>
      <c r="Q14" s="14" t="inlineStr">
        <is>
          <t>Denise Coleman</t>
        </is>
      </c>
    </row>
    <row r="15">
      <c r="A15" s="14" t="inlineStr">
        <is>
          <t>R13</t>
        </is>
      </c>
      <c r="B15" s="14" t="inlineStr">
        <is>
          <t>Workforce member views patient records without a care need (snooping)</t>
        </is>
      </c>
      <c r="C15" s="15" t="n">
        <v>3</v>
      </c>
      <c r="D15" s="15" t="n">
        <v>2</v>
      </c>
      <c r="E15" s="15" t="n">
        <v>1</v>
      </c>
      <c r="F15" s="15" t="n">
        <v>4</v>
      </c>
      <c r="G15" s="15" t="n">
        <v>4</v>
      </c>
      <c r="H15" s="16">
        <f>D15*'Criteria &amp; Weights'!$H$6+E15*'Criteria &amp; Weights'!$H$7+F15*'Criteria &amp; Weights'!$H$8+G15*'Criteria &amp; Weights'!$H$9</f>
        <v/>
      </c>
      <c r="I15" s="16">
        <f>C15*H15</f>
        <v/>
      </c>
      <c r="J15" s="14">
        <f>IF(I15&gt;=20,"Critical",IF(I15&gt;=12,"High",IF(I15&gt;=6,"Medium","Low")))</f>
        <v/>
      </c>
      <c r="K15" s="14">
        <f>IF(AND(MAX(D15:G15)=5,C15&gt;=3,OR(J15="Low",J15="Medium")),"Yes","")</f>
        <v/>
      </c>
      <c r="L15" s="14">
        <f>IF(K15="Yes","High",J15)</f>
        <v/>
      </c>
      <c r="M15" s="14" t="n">
        <v>12</v>
      </c>
      <c r="N15" s="14" t="n">
        <v>11</v>
      </c>
      <c r="O15" s="14">
        <f>RANK(I15,$I$5:$I$20)</f>
        <v/>
      </c>
      <c r="P15" s="14" t="inlineStr">
        <is>
          <t>Snooping is the most common OCR complaint; strong patient-trust impact</t>
        </is>
      </c>
      <c r="Q15" s="14" t="inlineStr">
        <is>
          <t>Denise Coleman</t>
        </is>
      </c>
    </row>
    <row r="16">
      <c r="A16" s="14" t="inlineStr">
        <is>
          <t>R16</t>
        </is>
      </c>
      <c r="B16" s="14" t="inlineStr">
        <is>
          <t>Breach notification deadline missed (no Privacy Officer)</t>
        </is>
      </c>
      <c r="C16" s="15" t="n">
        <v>2</v>
      </c>
      <c r="D16" s="15" t="n">
        <v>3</v>
      </c>
      <c r="E16" s="15" t="n">
        <v>1</v>
      </c>
      <c r="F16" s="15" t="n">
        <v>5</v>
      </c>
      <c r="G16" s="15" t="n">
        <v>4</v>
      </c>
      <c r="H16" s="16">
        <f>D16*'Criteria &amp; Weights'!$H$6+E16*'Criteria &amp; Weights'!$H$7+F16*'Criteria &amp; Weights'!$H$8+G16*'Criteria &amp; Weights'!$H$9</f>
        <v/>
      </c>
      <c r="I16" s="16">
        <f>C16*H16</f>
        <v/>
      </c>
      <c r="J16" s="14">
        <f>IF(I16&gt;=20,"Critical",IF(I16&gt;=12,"High",IF(I16&gt;=6,"Medium","Low")))</f>
        <v/>
      </c>
      <c r="K16" s="14">
        <f>IF(AND(MAX(D16:G16)=5,C16&gt;=3,OR(J16="Low",J16="Medium")),"Yes","")</f>
        <v/>
      </c>
      <c r="L16" s="14">
        <f>IF(K16="Yes","High",J16)</f>
        <v/>
      </c>
      <c r="M16" s="14" t="n">
        <v>8</v>
      </c>
      <c r="N16" s="14" t="n">
        <v>15</v>
      </c>
      <c r="O16" s="14">
        <f>RANK(I16,$I$5:$I$20)</f>
        <v/>
      </c>
      <c r="P16" s="14" t="inlineStr">
        <is>
          <t>Late notification is a separate §164.404 violation; public criticism</t>
        </is>
      </c>
      <c r="Q16" s="14" t="inlineStr">
        <is>
          <t>Denise Coleman</t>
        </is>
      </c>
    </row>
    <row r="17">
      <c r="A17" s="14" t="inlineStr">
        <is>
          <t>R15</t>
        </is>
      </c>
      <c r="B17" s="14" t="inlineStr">
        <is>
          <t>Accidental deletion of production network or storage</t>
        </is>
      </c>
      <c r="C17" s="15" t="n">
        <v>2</v>
      </c>
      <c r="D17" s="15" t="n">
        <v>3</v>
      </c>
      <c r="E17" s="15" t="n">
        <v>4</v>
      </c>
      <c r="F17" s="15" t="n">
        <v>2</v>
      </c>
      <c r="G17" s="15" t="n">
        <v>2</v>
      </c>
      <c r="H17" s="16">
        <f>D17*'Criteria &amp; Weights'!$H$6+E17*'Criteria &amp; Weights'!$H$7+F17*'Criteria &amp; Weights'!$H$8+G17*'Criteria &amp; Weights'!$H$9</f>
        <v/>
      </c>
      <c r="I17" s="16">
        <f>C17*H17</f>
        <v/>
      </c>
      <c r="J17" s="14">
        <f>IF(I17&gt;=20,"Critical",IF(I17&gt;=12,"High",IF(I17&gt;=6,"Medium","Low")))</f>
        <v/>
      </c>
      <c r="K17" s="14">
        <f>IF(AND(MAX(D17:G17)=5,C17&gt;=3,OR(J17="Low",J17="Medium")),"Yes","")</f>
        <v/>
      </c>
      <c r="L17" s="14">
        <f>IF(K17="Yes","High",J17)</f>
        <v/>
      </c>
      <c r="M17" s="14" t="n">
        <v>8</v>
      </c>
      <c r="N17" s="14" t="n">
        <v>14</v>
      </c>
      <c r="O17" s="14">
        <f>RANK(I17,$I$5:$I$20)</f>
        <v/>
      </c>
      <c r="P17" s="14" t="inlineStr">
        <is>
          <t>Portal down until rebuilt; no data loss if storage survives</t>
        </is>
      </c>
      <c r="Q17" s="14" t="inlineStr">
        <is>
          <t>Kevin O'Brien</t>
        </is>
      </c>
    </row>
    <row r="18">
      <c r="A18" s="14" t="inlineStr">
        <is>
          <t>R06</t>
        </is>
      </c>
      <c r="B18" s="14" t="inlineStr">
        <is>
          <t>Contractor retains access after engagement ends; no BAA</t>
        </is>
      </c>
      <c r="C18" s="15" t="n">
        <v>2</v>
      </c>
      <c r="D18" s="15" t="n">
        <v>2</v>
      </c>
      <c r="E18" s="15" t="n">
        <v>1</v>
      </c>
      <c r="F18" s="15" t="n">
        <v>4</v>
      </c>
      <c r="G18" s="15" t="n">
        <v>2</v>
      </c>
      <c r="H18" s="16">
        <f>D18*'Criteria &amp; Weights'!$H$6+E18*'Criteria &amp; Weights'!$H$7+F18*'Criteria &amp; Weights'!$H$8+G18*'Criteria &amp; Weights'!$H$9</f>
        <v/>
      </c>
      <c r="I18" s="16">
        <f>C18*H18</f>
        <v/>
      </c>
      <c r="J18" s="14">
        <f>IF(I18&gt;=20,"Critical",IF(I18&gt;=12,"High",IF(I18&gt;=6,"Medium","Low")))</f>
        <v/>
      </c>
      <c r="K18" s="14">
        <f>IF(AND(MAX(D18:G18)=5,C18&gt;=3,OR(J18="Low",J18="Medium")),"Yes","")</f>
        <v/>
      </c>
      <c r="L18" s="14">
        <f>IF(K18="Yes","High",J18)</f>
        <v/>
      </c>
      <c r="M18" s="14" t="n">
        <v>8</v>
      </c>
      <c r="N18" s="14" t="n">
        <v>12</v>
      </c>
      <c r="O18" s="14">
        <f>RANK(I18,$I$5:$I$20)</f>
        <v/>
      </c>
      <c r="P18" s="14" t="inlineStr">
        <is>
          <t>Unmanaged third-party access is a HIPAA BA violation; little operational effect</t>
        </is>
      </c>
      <c r="Q18" s="14" t="inlineStr">
        <is>
          <t>Kevin O'Brien</t>
        </is>
      </c>
    </row>
    <row r="19">
      <c r="A19" s="14" t="inlineStr">
        <is>
          <t>R14</t>
        </is>
      </c>
      <c r="B19" s="14" t="inlineStr">
        <is>
          <t>Workforce violations go unpunished; training not tracked</t>
        </is>
      </c>
      <c r="C19" s="15" t="n">
        <v>2</v>
      </c>
      <c r="D19" s="15" t="n">
        <v>2</v>
      </c>
      <c r="E19" s="15" t="n">
        <v>1</v>
      </c>
      <c r="F19" s="15" t="n">
        <v>3</v>
      </c>
      <c r="G19" s="15" t="n">
        <v>2</v>
      </c>
      <c r="H19" s="16">
        <f>D19*'Criteria &amp; Weights'!$H$6+E19*'Criteria &amp; Weights'!$H$7+F19*'Criteria &amp; Weights'!$H$8+G19*'Criteria &amp; Weights'!$H$9</f>
        <v/>
      </c>
      <c r="I19" s="16">
        <f>C19*H19</f>
        <v/>
      </c>
      <c r="J19" s="14">
        <f>IF(I19&gt;=20,"Critical",IF(I19&gt;=12,"High",IF(I19&gt;=6,"Medium","Low")))</f>
        <v/>
      </c>
      <c r="K19" s="14">
        <f>IF(AND(MAX(D19:G19)=5,C19&gt;=3,OR(J19="Low",J19="Medium")),"Yes","")</f>
        <v/>
      </c>
      <c r="L19" s="14">
        <f>IF(K19="Yes","High",J19)</f>
        <v/>
      </c>
      <c r="M19" s="14" t="n">
        <v>8</v>
      </c>
      <c r="N19" s="14" t="n">
        <v>13</v>
      </c>
      <c r="O19" s="14">
        <f>RANK(I19,$I$5:$I$20)</f>
        <v/>
      </c>
      <c r="P19" s="14" t="inlineStr">
        <is>
          <t>Missing required policy; finding in any OCR audit</t>
        </is>
      </c>
      <c r="Q19" s="14" t="inlineStr">
        <is>
          <t>Daniel Osei</t>
        </is>
      </c>
    </row>
    <row r="20">
      <c r="A20" s="14" t="inlineStr">
        <is>
          <t>R07</t>
        </is>
      </c>
      <c r="B20" s="14" t="inlineStr">
        <is>
          <t>Shared test account in production can read ePHI</t>
        </is>
      </c>
      <c r="C20" s="15" t="n">
        <v>2</v>
      </c>
      <c r="D20" s="15" t="n">
        <v>1</v>
      </c>
      <c r="E20" s="15" t="n">
        <v>1</v>
      </c>
      <c r="F20" s="15" t="n">
        <v>3</v>
      </c>
      <c r="G20" s="15" t="n">
        <v>2</v>
      </c>
      <c r="H20" s="16">
        <f>D20*'Criteria &amp; Weights'!$H$6+E20*'Criteria &amp; Weights'!$H$7+F20*'Criteria &amp; Weights'!$H$8+G20*'Criteria &amp; Weights'!$H$9</f>
        <v/>
      </c>
      <c r="I20" s="16">
        <f>C20*H20</f>
        <v/>
      </c>
      <c r="J20" s="14">
        <f>IF(I20&gt;=20,"Critical",IF(I20&gt;=12,"High",IF(I20&gt;=6,"Medium","Low")))</f>
        <v/>
      </c>
      <c r="K20" s="14">
        <f>IF(AND(MAX(D20:G20)=5,C20&gt;=3,OR(J20="Low",J20="Medium")),"Yes","")</f>
        <v/>
      </c>
      <c r="L20" s="14">
        <f>IF(K20="Yes","High",J20)</f>
        <v/>
      </c>
      <c r="M20" s="14" t="n">
        <v>6</v>
      </c>
      <c r="N20" s="14" t="n">
        <v>16</v>
      </c>
      <c r="O20" s="14">
        <f>RANK(I20,$I$5:$I$20)</f>
        <v/>
      </c>
      <c r="P20" s="14" t="inlineStr">
        <is>
          <t>Untraceable ePHI read access violates unique-ID standard</t>
        </is>
      </c>
      <c r="Q20" s="14" t="inlineStr">
        <is>
          <t>Sabitha S Karanavar</t>
        </is>
      </c>
    </row>
  </sheetData>
  <autoFilter ref="A4:Q20"/>
  <conditionalFormatting sqref="J5:J20">
    <cfRule type="expression" priority="1" dxfId="0">
      <formula>J5="Critical"</formula>
    </cfRule>
    <cfRule type="expression" priority="2" dxfId="1">
      <formula>J5="High"</formula>
    </cfRule>
    <cfRule type="expression" priority="3" dxfId="2">
      <formula>J5="Medium"</formula>
    </cfRule>
    <cfRule type="expression" priority="4" dxfId="3">
      <formula>J5="Low"</formula>
    </cfRule>
  </conditionalFormatting>
  <conditionalFormatting sqref="L5:L20">
    <cfRule type="expression" priority="5" dxfId="0">
      <formula>L5="Critical"</formula>
    </cfRule>
    <cfRule type="expression" priority="6" dxfId="1">
      <formula>L5="High"</formula>
    </cfRule>
    <cfRule type="expression" priority="7" dxfId="2">
      <formula>L5="Medium"</formula>
    </cfRule>
    <cfRule type="expression" priority="8" dxfId="3">
      <formula>L5="Low"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Z21"/>
  <sheetViews>
    <sheetView zoomScale="11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30" customWidth="1" min="3" max="3"/>
    <col width="9" customWidth="1" min="4" max="4"/>
    <col width="9" customWidth="1" min="5" max="5"/>
    <col width="9" customWidth="1" min="6" max="6"/>
    <col width="14" customWidth="1" min="7" max="7"/>
    <col width="12" customWidth="1" min="8" max="8"/>
    <col width="10" customWidth="1" min="9" max="9"/>
    <col width="10" customWidth="1" min="10" max="10"/>
    <col width="9" customWidth="1" min="11" max="11"/>
    <col width="9" customWidth="1" min="12" max="12"/>
    <col width="18" customWidth="1" min="13" max="13"/>
    <col width="10" customWidth="1" min="14" max="14"/>
    <col width="12" customWidth="1" min="15" max="15"/>
    <col width="9" customWidth="1" min="16" max="16"/>
    <col width="10" customWidth="1" min="17" max="17"/>
    <col width="9" customWidth="1" min="18" max="18"/>
    <col width="8" customWidth="1" min="19" max="19"/>
    <col width="11" customWidth="1" min="20" max="20"/>
    <col width="11" customWidth="1" min="21" max="21"/>
    <col width="11" customWidth="1" min="22" max="22"/>
    <col width="12" customWidth="1" min="23" max="23"/>
    <col width="12" customWidth="1" min="24" max="24"/>
    <col width="9" customWidth="1" min="25" max="25"/>
    <col width="40" customWidth="1" min="26" max="26"/>
  </cols>
  <sheetData>
    <row r="1">
      <c r="A1" s="1" t="inlineStr">
        <is>
          <t>Business Impact Analysis — MTD, RTO, RPO</t>
        </is>
      </c>
    </row>
    <row r="2">
      <c r="A2" s="2" t="inlineStr">
        <is>
          <t>Assumptions: 150-bed simulated hospital, $90,000,000 annual net patient revenue, $75/h labour. Yellow = inputs.</t>
        </is>
      </c>
    </row>
    <row r="3">
      <c r="A3" t="inlineStr">
        <is>
          <t>Hourly patient revenue</t>
        </is>
      </c>
      <c r="B3" s="17">
        <f>90000000/8760</f>
        <v/>
      </c>
    </row>
    <row r="5" ht="32" customHeight="1">
      <c r="A5" s="4" t="inlineStr">
        <is>
          <t>System / process</t>
        </is>
      </c>
      <c r="B5" s="4" t="inlineStr">
        <is>
          <t>Owner</t>
        </is>
      </c>
      <c r="C5" s="4" t="inlineStr">
        <is>
          <t>Revenue share</t>
        </is>
      </c>
      <c r="D5" s="4" t="inlineStr">
        <is>
          <t>Extra labour $/h</t>
        </is>
      </c>
      <c r="E5" s="4" t="inlineStr">
        <is>
          <t>Other $/h</t>
        </is>
      </c>
      <c r="F5" s="4" t="inlineStr">
        <is>
          <t>Hourly impact</t>
        </is>
      </c>
      <c r="G5" s="4" t="inlineStr">
        <is>
          <t>One-time recovery</t>
        </is>
      </c>
      <c r="H5" s="4" t="inlineStr">
        <is>
          <t>Financial tolerance</t>
        </is>
      </c>
      <c r="I5" s="4" t="inlineStr">
        <is>
          <t>Hours to tolerance</t>
        </is>
      </c>
      <c r="J5" s="4" t="inlineStr">
        <is>
          <t>Patient-safety limit (h)</t>
        </is>
      </c>
      <c r="K5" s="4" t="inlineStr">
        <is>
          <t>Policy max (h)</t>
        </is>
      </c>
      <c r="L5" s="4" t="inlineStr">
        <is>
          <t>MTD (h)</t>
        </is>
      </c>
      <c r="M5" s="4" t="inlineStr">
        <is>
          <t>MTD driver</t>
        </is>
      </c>
      <c r="N5" s="4" t="inlineStr">
        <is>
          <t>Work recovery time (h)</t>
        </is>
      </c>
      <c r="O5" s="4" t="inlineStr">
        <is>
          <t>RTO ≤ MTD − WRT − 1 h</t>
        </is>
      </c>
      <c r="P5" s="4" t="inlineStr">
        <is>
          <t>RTO (tier)</t>
        </is>
      </c>
      <c r="Q5" s="4" t="inlineStr">
        <is>
          <t>Transactions/h</t>
        </is>
      </c>
      <c r="R5" s="4" t="inlineStr">
        <is>
          <t>Max re-entry</t>
        </is>
      </c>
      <c r="S5" s="4" t="inlineStr">
        <is>
          <t>RPO (h)</t>
        </is>
      </c>
      <c r="T5" s="4" t="inlineStr">
        <is>
          <t>Impact @1h</t>
        </is>
      </c>
      <c r="U5" s="4" t="inlineStr">
        <is>
          <t>Impact @4h</t>
        </is>
      </c>
      <c r="V5" s="4" t="inlineStr">
        <is>
          <t>Impact @8h</t>
        </is>
      </c>
      <c r="W5" s="4" t="inlineStr">
        <is>
          <t>Impact @24h</t>
        </is>
      </c>
      <c r="X5" s="4" t="inlineStr">
        <is>
          <t>Impact @72h</t>
        </is>
      </c>
      <c r="Y5" s="4" t="inlineStr">
        <is>
          <t>Criticality tier</t>
        </is>
      </c>
      <c r="Z5" s="4" t="inlineStr">
        <is>
          <t>Depends on</t>
        </is>
      </c>
    </row>
    <row r="6">
      <c r="A6" s="14" t="inlineStr">
        <is>
          <t>EHR (clinical documentation &amp; orders)</t>
        </is>
      </c>
      <c r="B6" s="14" t="inlineStr">
        <is>
          <t>Sarah Chen</t>
        </is>
      </c>
      <c r="C6" s="18" t="n">
        <v>0.6</v>
      </c>
      <c r="D6" s="19" t="n">
        <v>720</v>
      </c>
      <c r="E6" s="19" t="n">
        <v>0</v>
      </c>
      <c r="F6" s="20">
        <f>C6*$B$3+D6+E6</f>
        <v/>
      </c>
      <c r="G6" s="19" t="n">
        <v>25000</v>
      </c>
      <c r="H6" s="19" t="n">
        <v>150000</v>
      </c>
      <c r="I6" s="21">
        <f>H6/F6</f>
        <v/>
      </c>
      <c r="J6" s="15" t="n">
        <v>8</v>
      </c>
      <c r="K6" s="15" t="n">
        <v>72</v>
      </c>
      <c r="L6" s="21">
        <f>MIN(I6,K6,J6)</f>
        <v/>
      </c>
      <c r="M6" s="14" t="inlineStr">
        <is>
          <t>patient-safety limit</t>
        </is>
      </c>
      <c r="N6" s="15" t="n">
        <v>3</v>
      </c>
      <c r="O6" s="21">
        <f>L6-N6-1</f>
        <v/>
      </c>
      <c r="P6" s="14" t="n">
        <v>4</v>
      </c>
      <c r="Q6" s="15" t="n">
        <v>400</v>
      </c>
      <c r="R6" s="15" t="n">
        <v>100</v>
      </c>
      <c r="S6" s="21">
        <f>R6/Q6</f>
        <v/>
      </c>
      <c r="T6" s="20">
        <f>G6+F6*1</f>
        <v/>
      </c>
      <c r="U6" s="20">
        <f>G6+F6*4</f>
        <v/>
      </c>
      <c r="V6" s="20">
        <f>G6+F6*8</f>
        <v/>
      </c>
      <c r="W6" s="20">
        <f>G6+F6*24</f>
        <v/>
      </c>
      <c r="X6" s="20">
        <f>G6+F6*72</f>
        <v/>
      </c>
      <c r="Y6" s="14" t="n">
        <v>1</v>
      </c>
      <c r="Z6" s="14" t="inlineStr">
        <is>
          <t>Entra ID, HVMC-Prod-VNet, hvmcehrstorage, LIS, Pharmacy System</t>
        </is>
      </c>
    </row>
    <row r="7">
      <c r="A7" s="14" t="inlineStr">
        <is>
          <t>Laboratory Information System</t>
        </is>
      </c>
      <c r="B7" s="14" t="inlineStr">
        <is>
          <t>Elena Petrova</t>
        </is>
      </c>
      <c r="C7" s="18" t="n">
        <v>0.1</v>
      </c>
      <c r="D7" s="19" t="n">
        <v>300</v>
      </c>
      <c r="E7" s="19" t="n">
        <v>1200</v>
      </c>
      <c r="F7" s="20">
        <f>C7*$B$3+D7+E7</f>
        <v/>
      </c>
      <c r="G7" s="19" t="n">
        <v>8000</v>
      </c>
      <c r="H7" s="19" t="n">
        <v>60000</v>
      </c>
      <c r="I7" s="21">
        <f>H7/F7</f>
        <v/>
      </c>
      <c r="J7" s="15" t="n">
        <v>4</v>
      </c>
      <c r="K7" s="15" t="n">
        <v>72</v>
      </c>
      <c r="L7" s="21">
        <f>MIN(I7,K7,J7)</f>
        <v/>
      </c>
      <c r="M7" s="14" t="inlineStr">
        <is>
          <t>patient-safety limit</t>
        </is>
      </c>
      <c r="N7" s="15" t="n">
        <v>1</v>
      </c>
      <c r="O7" s="21">
        <f>L7-N7-1</f>
        <v/>
      </c>
      <c r="P7" s="14" t="n">
        <v>2</v>
      </c>
      <c r="Q7" s="15" t="n">
        <v>120</v>
      </c>
      <c r="R7" s="15" t="n">
        <v>60</v>
      </c>
      <c r="S7" s="21">
        <f>R7/Q7</f>
        <v/>
      </c>
      <c r="T7" s="20">
        <f>G7+F7*1</f>
        <v/>
      </c>
      <c r="U7" s="20">
        <f>G7+F7*4</f>
        <v/>
      </c>
      <c r="V7" s="20">
        <f>G7+F7*8</f>
        <v/>
      </c>
      <c r="W7" s="20">
        <f>G7+F7*24</f>
        <v/>
      </c>
      <c r="X7" s="20">
        <f>G7+F7*72</f>
        <v/>
      </c>
      <c r="Y7" s="14" t="n">
        <v>1</v>
      </c>
      <c r="Z7" s="14" t="inlineStr">
        <is>
          <t>Entra ID, HVMC-Prod-VNet, EHR</t>
        </is>
      </c>
    </row>
    <row r="8">
      <c r="A8" s="14" t="inlineStr">
        <is>
          <t>Pharmacy Management System</t>
        </is>
      </c>
      <c r="B8" s="14" t="inlineStr">
        <is>
          <t>David Patel</t>
        </is>
      </c>
      <c r="C8" s="18" t="n">
        <v>0.08</v>
      </c>
      <c r="D8" s="19" t="n">
        <v>360</v>
      </c>
      <c r="E8" s="19" t="n">
        <v>600</v>
      </c>
      <c r="F8" s="20">
        <f>C8*$B$3+D8+E8</f>
        <v/>
      </c>
      <c r="G8" s="19" t="n">
        <v>8000</v>
      </c>
      <c r="H8" s="19" t="n">
        <v>50000</v>
      </c>
      <c r="I8" s="21">
        <f>H8/F8</f>
        <v/>
      </c>
      <c r="J8" s="15" t="n">
        <v>6</v>
      </c>
      <c r="K8" s="15" t="n">
        <v>72</v>
      </c>
      <c r="L8" s="21">
        <f>MIN(I8,K8,J8)</f>
        <v/>
      </c>
      <c r="M8" s="14" t="inlineStr">
        <is>
          <t>patient-safety limit</t>
        </is>
      </c>
      <c r="N8" s="15" t="n">
        <v>1</v>
      </c>
      <c r="O8" s="21">
        <f>L8-N8-1</f>
        <v/>
      </c>
      <c r="P8" s="14" t="n">
        <v>4</v>
      </c>
      <c r="Q8" s="15" t="n">
        <v>80</v>
      </c>
      <c r="R8" s="15" t="n">
        <v>20</v>
      </c>
      <c r="S8" s="21">
        <f>R8/Q8</f>
        <v/>
      </c>
      <c r="T8" s="20">
        <f>G8+F8*1</f>
        <v/>
      </c>
      <c r="U8" s="20">
        <f>G8+F8*4</f>
        <v/>
      </c>
      <c r="V8" s="20">
        <f>G8+F8*8</f>
        <v/>
      </c>
      <c r="W8" s="20">
        <f>G8+F8*24</f>
        <v/>
      </c>
      <c r="X8" s="20">
        <f>G8+F8*72</f>
        <v/>
      </c>
      <c r="Y8" s="14" t="n">
        <v>1</v>
      </c>
      <c r="Z8" s="14" t="inlineStr">
        <is>
          <t>Entra ID, HVMC-Prod-VNet, EHR</t>
        </is>
      </c>
    </row>
    <row r="9">
      <c r="A9" s="14" t="inlineStr">
        <is>
          <t>Appointment Scheduling</t>
        </is>
      </c>
      <c r="B9" s="14" t="inlineStr">
        <is>
          <t>Grace Nguyen</t>
        </is>
      </c>
      <c r="C9" s="18" t="n">
        <v>0.05</v>
      </c>
      <c r="D9" s="19" t="n">
        <v>120</v>
      </c>
      <c r="E9" s="19" t="n">
        <v>0</v>
      </c>
      <c r="F9" s="20">
        <f>C9*$B$3+D9+E9</f>
        <v/>
      </c>
      <c r="G9" s="19" t="n">
        <v>3000</v>
      </c>
      <c r="H9" s="19" t="n">
        <v>40000</v>
      </c>
      <c r="I9" s="21">
        <f>H9/F9</f>
        <v/>
      </c>
      <c r="J9" s="15" t="inlineStr">
        <is>
          <t>—</t>
        </is>
      </c>
      <c r="K9" s="15" t="n">
        <v>72</v>
      </c>
      <c r="L9" s="21">
        <f>MIN(I9,K9)</f>
        <v/>
      </c>
      <c r="M9" s="14" t="inlineStr">
        <is>
          <t>financial tolerance</t>
        </is>
      </c>
      <c r="N9" s="15" t="n">
        <v>4</v>
      </c>
      <c r="O9" s="21">
        <f>L9-N9-1</f>
        <v/>
      </c>
      <c r="P9" s="14" t="n">
        <v>48</v>
      </c>
      <c r="Q9" s="15" t="n">
        <v>30</v>
      </c>
      <c r="R9" s="15" t="n">
        <v>120</v>
      </c>
      <c r="S9" s="21">
        <f>R9/Q9</f>
        <v/>
      </c>
      <c r="T9" s="20">
        <f>G9+F9*1</f>
        <v/>
      </c>
      <c r="U9" s="20">
        <f>G9+F9*4</f>
        <v/>
      </c>
      <c r="V9" s="20">
        <f>G9+F9*8</f>
        <v/>
      </c>
      <c r="W9" s="20">
        <f>G9+F9*24</f>
        <v/>
      </c>
      <c r="X9" s="20">
        <f>G9+F9*72</f>
        <v/>
      </c>
      <c r="Y9" s="14" t="n">
        <v>3</v>
      </c>
      <c r="Z9" s="14" t="inlineStr">
        <is>
          <t>Entra ID, EHR</t>
        </is>
      </c>
    </row>
    <row r="10">
      <c r="A10" s="14" t="inlineStr">
        <is>
          <t>Payroll</t>
        </is>
      </c>
      <c r="B10" s="14" t="inlineStr">
        <is>
          <t>Brian Adeyemi</t>
        </is>
      </c>
      <c r="C10" s="18" t="n">
        <v>0</v>
      </c>
      <c r="D10" s="19" t="n">
        <v>0</v>
      </c>
      <c r="E10" s="19" t="n">
        <v>150</v>
      </c>
      <c r="F10" s="20">
        <f>C10*$B$3+D10+E10</f>
        <v/>
      </c>
      <c r="G10" s="19" t="n">
        <v>2000</v>
      </c>
      <c r="H10" s="19" t="n">
        <v>20000</v>
      </c>
      <c r="I10" s="21">
        <f>H10/F10</f>
        <v/>
      </c>
      <c r="J10" s="15" t="inlineStr">
        <is>
          <t>—</t>
        </is>
      </c>
      <c r="K10" s="15" t="n">
        <v>72</v>
      </c>
      <c r="L10" s="21">
        <f>MIN(I10,K10)</f>
        <v/>
      </c>
      <c r="M10" s="14" t="inlineStr">
        <is>
          <t>policy maximum</t>
        </is>
      </c>
      <c r="N10" s="15" t="n">
        <v>8</v>
      </c>
      <c r="O10" s="21">
        <f>L10-N10-1</f>
        <v/>
      </c>
      <c r="P10" s="14" t="n">
        <v>48</v>
      </c>
      <c r="Q10" s="15" t="n">
        <v>5</v>
      </c>
      <c r="R10" s="15" t="n">
        <v>40</v>
      </c>
      <c r="S10" s="21">
        <f>R10/Q10</f>
        <v/>
      </c>
      <c r="T10" s="20">
        <f>G10+F10*1</f>
        <v/>
      </c>
      <c r="U10" s="20">
        <f>G10+F10*4</f>
        <v/>
      </c>
      <c r="V10" s="20">
        <f>G10+F10*8</f>
        <v/>
      </c>
      <c r="W10" s="20">
        <f>G10+F10*24</f>
        <v/>
      </c>
      <c r="X10" s="20">
        <f>G10+F10*72</f>
        <v/>
      </c>
      <c r="Y10" s="14" t="n">
        <v>3</v>
      </c>
      <c r="Z10" s="14" t="inlineStr">
        <is>
          <t>Entra ID</t>
        </is>
      </c>
    </row>
    <row r="11">
      <c r="A11" s="14" t="inlineStr">
        <is>
          <t>HR Portal</t>
        </is>
      </c>
      <c r="B11" s="14" t="inlineStr">
        <is>
          <t>Daniel Osei</t>
        </is>
      </c>
      <c r="C11" s="18" t="n">
        <v>0</v>
      </c>
      <c r="D11" s="19" t="n">
        <v>0</v>
      </c>
      <c r="E11" s="19" t="n">
        <v>100</v>
      </c>
      <c r="F11" s="20">
        <f>C11*$B$3+D11+E11</f>
        <v/>
      </c>
      <c r="G11" s="19" t="n">
        <v>2000</v>
      </c>
      <c r="H11" s="19" t="n">
        <v>20000</v>
      </c>
      <c r="I11" s="21">
        <f>H11/F11</f>
        <v/>
      </c>
      <c r="J11" s="15" t="inlineStr">
        <is>
          <t>—</t>
        </is>
      </c>
      <c r="K11" s="15" t="n">
        <v>72</v>
      </c>
      <c r="L11" s="21">
        <f>MIN(I11,K11)</f>
        <v/>
      </c>
      <c r="M11" s="14" t="inlineStr">
        <is>
          <t>policy maximum</t>
        </is>
      </c>
      <c r="N11" s="15" t="n">
        <v>4</v>
      </c>
      <c r="O11" s="21">
        <f>L11-N11-1</f>
        <v/>
      </c>
      <c r="P11" s="14" t="n">
        <v>48</v>
      </c>
      <c r="Q11" s="15" t="n">
        <v>5</v>
      </c>
      <c r="R11" s="15" t="n">
        <v>120</v>
      </c>
      <c r="S11" s="21">
        <f>R11/Q11</f>
        <v/>
      </c>
      <c r="T11" s="20">
        <f>G11+F11*1</f>
        <v/>
      </c>
      <c r="U11" s="20">
        <f>G11+F11*4</f>
        <v/>
      </c>
      <c r="V11" s="20">
        <f>G11+F11*8</f>
        <v/>
      </c>
      <c r="W11" s="20">
        <f>G11+F11*24</f>
        <v/>
      </c>
      <c r="X11" s="20">
        <f>G11+F11*72</f>
        <v/>
      </c>
      <c r="Y11" s="14" t="n">
        <v>3</v>
      </c>
      <c r="Z11" s="14" t="inlineStr">
        <is>
          <t>Entra ID</t>
        </is>
      </c>
    </row>
    <row r="12">
      <c r="A12" s="14" t="inlineStr">
        <is>
          <t>Security Monitoring Portal</t>
        </is>
      </c>
      <c r="B12" s="14" t="inlineStr">
        <is>
          <t>Denise Coleman</t>
        </is>
      </c>
      <c r="C12" s="18" t="n">
        <v>0</v>
      </c>
      <c r="D12" s="19" t="n">
        <v>0</v>
      </c>
      <c r="E12" s="19" t="n">
        <v>200</v>
      </c>
      <c r="F12" s="20">
        <f>C12*$B$3+D12+E12</f>
        <v/>
      </c>
      <c r="G12" s="19" t="n">
        <v>4000</v>
      </c>
      <c r="H12" s="19" t="n">
        <v>20000</v>
      </c>
      <c r="I12" s="21">
        <f>H12/F12</f>
        <v/>
      </c>
      <c r="J12" s="15" t="inlineStr">
        <is>
          <t>—</t>
        </is>
      </c>
      <c r="K12" s="15" t="n">
        <v>24</v>
      </c>
      <c r="L12" s="21">
        <f>MIN(I12,K12)</f>
        <v/>
      </c>
      <c r="M12" s="14" t="inlineStr">
        <is>
          <t>policy maximum</t>
        </is>
      </c>
      <c r="N12" s="15" t="n">
        <v>2</v>
      </c>
      <c r="O12" s="21">
        <f>L12-N12-1</f>
        <v/>
      </c>
      <c r="P12" s="14" t="n">
        <v>12</v>
      </c>
      <c r="Q12" s="15" t="n">
        <v>50</v>
      </c>
      <c r="R12" s="15" t="n">
        <v>200</v>
      </c>
      <c r="S12" s="21">
        <f>R12/Q12</f>
        <v/>
      </c>
      <c r="T12" s="20">
        <f>G12+F12*1</f>
        <v/>
      </c>
      <c r="U12" s="20">
        <f>G12+F12*4</f>
        <v/>
      </c>
      <c r="V12" s="20">
        <f>G12+F12*8</f>
        <v/>
      </c>
      <c r="W12" s="20">
        <f>G12+F12*24</f>
        <v/>
      </c>
      <c r="X12" s="20">
        <f>G12+F12*72</f>
        <v/>
      </c>
      <c r="Y12" s="14" t="n">
        <v>2</v>
      </c>
      <c r="Z12" s="14" t="inlineStr">
        <is>
          <t>Entra ID, Log Analytics (not deployed)</t>
        </is>
      </c>
    </row>
    <row r="13">
      <c r="A13" s="14" t="inlineStr">
        <is>
          <t>IT Administration Console</t>
        </is>
      </c>
      <c r="B13" s="14" t="inlineStr">
        <is>
          <t>Kevin O'Brien</t>
        </is>
      </c>
      <c r="C13" s="18" t="n">
        <v>0</v>
      </c>
      <c r="D13" s="19" t="n">
        <v>0</v>
      </c>
      <c r="E13" s="19" t="n">
        <v>250</v>
      </c>
      <c r="F13" s="20">
        <f>C13*$B$3+D13+E13</f>
        <v/>
      </c>
      <c r="G13" s="19" t="n">
        <v>4000</v>
      </c>
      <c r="H13" s="19" t="n">
        <v>30000</v>
      </c>
      <c r="I13" s="21">
        <f>H13/F13</f>
        <v/>
      </c>
      <c r="J13" s="15" t="inlineStr">
        <is>
          <t>—</t>
        </is>
      </c>
      <c r="K13" s="15" t="n">
        <v>24</v>
      </c>
      <c r="L13" s="21">
        <f>MIN(I13,K13)</f>
        <v/>
      </c>
      <c r="M13" s="14" t="inlineStr">
        <is>
          <t>policy maximum</t>
        </is>
      </c>
      <c r="N13" s="15" t="n">
        <v>2</v>
      </c>
      <c r="O13" s="21">
        <f>L13-N13-1</f>
        <v/>
      </c>
      <c r="P13" s="14" t="n">
        <v>12</v>
      </c>
      <c r="Q13" s="15" t="n">
        <v>10</v>
      </c>
      <c r="R13" s="15" t="n">
        <v>40</v>
      </c>
      <c r="S13" s="21">
        <f>R13/Q13</f>
        <v/>
      </c>
      <c r="T13" s="20">
        <f>G13+F13*1</f>
        <v/>
      </c>
      <c r="U13" s="20">
        <f>G13+F13*4</f>
        <v/>
      </c>
      <c r="V13" s="20">
        <f>G13+F13*8</f>
        <v/>
      </c>
      <c r="W13" s="20">
        <f>G13+F13*24</f>
        <v/>
      </c>
      <c r="X13" s="20">
        <f>G13+F13*72</f>
        <v/>
      </c>
      <c r="Y13" s="14" t="n">
        <v>2</v>
      </c>
      <c r="Z13" s="14" t="inlineStr">
        <is>
          <t>Entra ID, HVMC-Bastion</t>
        </is>
      </c>
    </row>
    <row r="14">
      <c r="A14" s="14" t="inlineStr">
        <is>
          <t>VPN Portal</t>
        </is>
      </c>
      <c r="B14" s="14" t="inlineStr">
        <is>
          <t>Kevin O'Brien</t>
        </is>
      </c>
      <c r="C14" s="18" t="n">
        <v>0</v>
      </c>
      <c r="D14" s="19" t="n">
        <v>0</v>
      </c>
      <c r="E14" s="19" t="n">
        <v>50</v>
      </c>
      <c r="F14" s="20">
        <f>C14*$B$3+D14+E14</f>
        <v/>
      </c>
      <c r="G14" s="19" t="n">
        <v>1000</v>
      </c>
      <c r="H14" s="19" t="n">
        <v>10000</v>
      </c>
      <c r="I14" s="21">
        <f>H14/F14</f>
        <v/>
      </c>
      <c r="J14" s="15" t="inlineStr">
        <is>
          <t>—</t>
        </is>
      </c>
      <c r="K14" s="15" t="n">
        <v>72</v>
      </c>
      <c r="L14" s="21">
        <f>MIN(I14,K14)</f>
        <v/>
      </c>
      <c r="M14" s="14" t="inlineStr">
        <is>
          <t>policy maximum</t>
        </is>
      </c>
      <c r="N14" s="15" t="n">
        <v>1</v>
      </c>
      <c r="O14" s="21">
        <f>L14-N14-1</f>
        <v/>
      </c>
      <c r="P14" s="14" t="n">
        <v>48</v>
      </c>
      <c r="Q14" s="15" t="n">
        <v>2</v>
      </c>
      <c r="R14" s="15" t="n">
        <v>20</v>
      </c>
      <c r="S14" s="21">
        <f>R14/Q14</f>
        <v/>
      </c>
      <c r="T14" s="20">
        <f>G14+F14*1</f>
        <v/>
      </c>
      <c r="U14" s="20">
        <f>G14+F14*4</f>
        <v/>
      </c>
      <c r="V14" s="20">
        <f>G14+F14*8</f>
        <v/>
      </c>
      <c r="W14" s="20">
        <f>G14+F14*24</f>
        <v/>
      </c>
      <c r="X14" s="20">
        <f>G14+F14*72</f>
        <v/>
      </c>
      <c r="Y14" s="14" t="n">
        <v>3</v>
      </c>
      <c r="Z14" s="14" t="inlineStr">
        <is>
          <t>Entra ID</t>
        </is>
      </c>
    </row>
    <row r="17">
      <c r="A17" s="3" t="inlineStr">
        <is>
          <t>Supporting services inherit the strictest requirement of the systems that depend on them</t>
        </is>
      </c>
    </row>
    <row r="18" ht="32" customHeight="1">
      <c r="A18" s="4" t="inlineStr">
        <is>
          <t>Supporting service</t>
        </is>
      </c>
      <c r="B18" s="4" t="inlineStr">
        <is>
          <t>Owner</t>
        </is>
      </c>
      <c r="C18" s="4" t="inlineStr">
        <is>
          <t>Used by</t>
        </is>
      </c>
      <c r="D18" s="4" t="inlineStr">
        <is>
          <t>MTD (h)</t>
        </is>
      </c>
      <c r="E18" s="4" t="inlineStr">
        <is>
          <t>RTO (h)</t>
        </is>
      </c>
      <c r="F18" s="4" t="inlineStr">
        <is>
          <t>RPO</t>
        </is>
      </c>
      <c r="G18" s="4" t="inlineStr">
        <is>
          <t>Hourly impact if down</t>
        </is>
      </c>
    </row>
    <row r="19">
      <c r="A19" s="14" t="inlineStr">
        <is>
          <t>Entra ID (identity)</t>
        </is>
      </c>
      <c r="B19" s="14" t="inlineStr">
        <is>
          <t>Sabitha S Karanavar</t>
        </is>
      </c>
      <c r="C19" s="14" t="inlineStr">
        <is>
          <t>All 9 systems</t>
        </is>
      </c>
      <c r="D19" s="14" t="n">
        <v>4</v>
      </c>
      <c r="E19" s="14" t="n">
        <v>2</v>
      </c>
      <c r="F19" s="14" t="inlineStr">
        <is>
          <t>15 min</t>
        </is>
      </c>
      <c r="G19" s="20" t="n">
        <v>12577.39726027397</v>
      </c>
    </row>
    <row r="20">
      <c r="A20" s="14" t="inlineStr">
        <is>
          <t>HVMC-Prod-VNet / LB / NAT</t>
        </is>
      </c>
      <c r="B20" s="14" t="inlineStr">
        <is>
          <t>Fatima Ali</t>
        </is>
      </c>
      <c r="C20" s="14" t="inlineStr">
        <is>
          <t>EHR, LIS, Pharmacy</t>
        </is>
      </c>
      <c r="D20" s="14" t="n">
        <v>4</v>
      </c>
      <c r="E20" s="14" t="n">
        <v>2</v>
      </c>
      <c r="F20" s="14" t="inlineStr">
        <is>
          <t>15 min</t>
        </is>
      </c>
      <c r="G20" s="20" t="n">
        <v>11193.69863013699</v>
      </c>
    </row>
    <row r="21">
      <c r="A21" s="14" t="inlineStr">
        <is>
          <t>hvmcehrstorage</t>
        </is>
      </c>
      <c r="B21" s="14" t="inlineStr">
        <is>
          <t>Sarah Chen</t>
        </is>
      </c>
      <c r="C21" s="14" t="inlineStr">
        <is>
          <t>EHR</t>
        </is>
      </c>
      <c r="D21" s="14" t="n">
        <v>8</v>
      </c>
      <c r="E21" s="14" t="n">
        <v>4</v>
      </c>
      <c r="F21" s="14" t="inlineStr">
        <is>
          <t>15 min</t>
        </is>
      </c>
      <c r="G21" s="20" t="n">
        <v>6884.383561643835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P15"/>
  <sheetViews>
    <sheetView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7" customWidth="1" min="4" max="4"/>
    <col width="6" customWidth="1" min="5" max="5"/>
    <col width="6" customWidth="1" min="6" max="6"/>
    <col width="6" customWidth="1" min="7" max="7"/>
    <col width="34" customWidth="1" min="8" max="8"/>
    <col width="60" customWidth="1" min="9" max="9"/>
    <col width="14" customWidth="1" min="10" max="10"/>
    <col width="8" customWidth="1" min="11" max="11"/>
    <col width="9" customWidth="1" min="12" max="12"/>
    <col width="11" customWidth="1" min="13" max="13"/>
    <col width="13" customWidth="1" min="14" max="14"/>
    <col width="34" customWidth="1" min="15" max="15"/>
    <col width="34" customWidth="1" min="16" max="16"/>
  </cols>
  <sheetData>
    <row r="1">
      <c r="A1" s="1" t="inlineStr">
        <is>
          <t>Critical Asset Risk Exposure Register</t>
        </is>
      </c>
    </row>
    <row r="2">
      <c r="A2" s="2" t="inlineStr">
        <is>
          <t>Exposure = highest weighted risk score among linked risks · ALE from Risk Assessment Techniques (overlapping, not additive)</t>
        </is>
      </c>
    </row>
    <row r="4" ht="32" customHeight="1">
      <c r="A4" s="4" t="inlineStr">
        <is>
          <t>Asset</t>
        </is>
      </c>
      <c r="B4" s="4" t="inlineStr">
        <is>
          <t>Type</t>
        </is>
      </c>
      <c r="C4" s="4" t="inlineStr">
        <is>
          <t>Owner</t>
        </is>
      </c>
      <c r="D4" s="4" t="inlineStr">
        <is>
          <t>BIA tier</t>
        </is>
      </c>
      <c r="E4" s="4" t="inlineStr">
        <is>
          <t>C</t>
        </is>
      </c>
      <c r="F4" s="4" t="inlineStr">
        <is>
          <t>I</t>
        </is>
      </c>
      <c r="G4" s="4" t="inlineStr">
        <is>
          <t>A</t>
        </is>
      </c>
      <c r="H4" s="4" t="inlineStr">
        <is>
          <t>Threat exposure (ATT&amp;CK)</t>
        </is>
      </c>
      <c r="I4" s="4" t="inlineStr">
        <is>
          <t>Vulnerabilities (evidence)</t>
        </is>
      </c>
      <c r="J4" s="4" t="inlineStr">
        <is>
          <t>Linked risks</t>
        </is>
      </c>
      <c r="K4" s="4" t="inlineStr">
        <is>
          <t>Top risk</t>
        </is>
      </c>
      <c r="L4" s="4" t="inlineStr">
        <is>
          <t>Exposure score</t>
        </is>
      </c>
      <c r="M4" s="4" t="inlineStr">
        <is>
          <t>Exposure rating</t>
        </is>
      </c>
      <c r="N4" s="4" t="inlineStr">
        <is>
          <t>ALE of linked risks</t>
        </is>
      </c>
      <c r="O4" s="4" t="inlineStr">
        <is>
          <t>Depends on (upstream)</t>
        </is>
      </c>
      <c r="P4" s="4" t="inlineStr">
        <is>
          <t>Used by (downstream)</t>
        </is>
      </c>
    </row>
    <row r="5" ht="75" customHeight="1">
      <c r="A5" s="14" t="inlineStr">
        <is>
          <t>hvmcehrstorage</t>
        </is>
      </c>
      <c r="B5" s="14" t="inlineStr">
        <is>
          <t>ePHI data store (Azure Storage)</t>
        </is>
      </c>
      <c r="C5" s="14" t="inlineStr">
        <is>
          <t>Sarah Chen</t>
        </is>
      </c>
      <c r="D5" s="14" t="n">
        <v>1</v>
      </c>
      <c r="E5" s="14" t="inlineStr">
        <is>
          <t>High</t>
        </is>
      </c>
      <c r="F5" s="14" t="inlineStr">
        <is>
          <t>High</t>
        </is>
      </c>
      <c r="G5" s="14" t="inlineStr">
        <is>
          <t>Mod</t>
        </is>
      </c>
      <c r="H5" s="14" t="inlineStr">
        <is>
          <t>T1530 Data from Cloud Storage, T1486 / T1485 Ransomware, Data Destruction, T1078 Valid Accounts (shared test account), T1105 Ingress Tool Transfer (malware)</t>
        </is>
      </c>
      <c r="I5" s="14" t="inlineStr">
        <is>
          <t>V02 public network access Enabled, firewall default Allow, shared-key access enabled; V05 blob versioning off, soft delete only 7 days, 0 resource locks, restore never tested; V07 Test Nurse - EHR holds HVMC-Nurse-EHR-ReadOnly on hvmcehrstorage; V11 all Defender for Cloud workload plans on Free tier; 0 security contacts configured</t>
        </is>
      </c>
      <c r="J5" s="14" t="inlineStr">
        <is>
          <t>R02, R05, R07, R11</t>
        </is>
      </c>
      <c r="K5" s="14" t="inlineStr">
        <is>
          <t>R05</t>
        </is>
      </c>
      <c r="L5" s="16" t="n">
        <v>14.01</v>
      </c>
      <c r="M5" s="14" t="inlineStr">
        <is>
          <t>High</t>
        </is>
      </c>
      <c r="N5" s="20" t="n">
        <v>1657775.715</v>
      </c>
      <c r="O5" s="14" t="inlineStr">
        <is>
          <t>Entra ID (RBAC), HVMC-Prod-VNet, Azure East US + paired region</t>
        </is>
      </c>
      <c r="P5" s="14" t="inlineStr">
        <is>
          <t>EHR, Nurse read-only role</t>
        </is>
      </c>
    </row>
    <row r="6" ht="75" customHeight="1">
      <c r="A6" s="14" t="inlineStr">
        <is>
          <t>EHR application</t>
        </is>
      </c>
      <c r="B6" s="14" t="inlineStr">
        <is>
          <t>Clinical system</t>
        </is>
      </c>
      <c r="C6" s="14" t="inlineStr">
        <is>
          <t>Sarah Chen</t>
        </is>
      </c>
      <c r="D6" s="14" t="n">
        <v>1</v>
      </c>
      <c r="E6" s="14" t="inlineStr">
        <is>
          <t>High</t>
        </is>
      </c>
      <c r="F6" s="14" t="inlineStr">
        <is>
          <t>High</t>
        </is>
      </c>
      <c r="G6" s="14" t="inlineStr">
        <is>
          <t>High</t>
        </is>
      </c>
      <c r="H6" s="14" t="inlineStr">
        <is>
          <t>T1021 Remote Services (lateral movement), T1486 / T1485 Ransomware, Data Destruction, T1566 / T1557 Phishing, Adversary-in-the-Middle, Insider misuse (record snooping)</t>
        </is>
      </c>
      <c r="I6" s="14" t="inlineStr">
        <is>
          <t>V03 HVMC-Data-NSG has no deny rule; default AllowVnetInBound (65000) permits Web→Data on any port; V05 blob versioning off, soft delete only 7 days, 0 resource locks, restore never tested; V12 security defaults allow push/OTP MFA; no Conditional Access or phishing-resistant MFA; V13 no record-level access auditing or monthly access-log review</t>
        </is>
      </c>
      <c r="J6" s="14" t="inlineStr">
        <is>
          <t>R03, R05, R12, R13</t>
        </is>
      </c>
      <c r="K6" s="14" t="inlineStr">
        <is>
          <t>R05</t>
        </is>
      </c>
      <c r="L6" s="16" t="n">
        <v>14.01</v>
      </c>
      <c r="M6" s="14" t="inlineStr">
        <is>
          <t>High</t>
        </is>
      </c>
      <c r="N6" s="20" t="n">
        <v>1300272.7782</v>
      </c>
      <c r="O6" s="14" t="inlineStr">
        <is>
          <t>Entra ID, Web/App/Data subnets, hvmcehrstorage</t>
        </is>
      </c>
      <c r="P6" s="14" t="inlineStr">
        <is>
          <t>Clinicians (12), LIS, Pharmacy, Scheduling</t>
        </is>
      </c>
    </row>
    <row r="7" ht="75" customHeight="1">
      <c r="A7" s="14" t="inlineStr">
        <is>
          <t>HVMC-Prod-VNet — Data subnet</t>
        </is>
      </c>
      <c r="B7" s="14" t="inlineStr">
        <is>
          <t>Network segment 10.0.3.0/24</t>
        </is>
      </c>
      <c r="C7" s="14" t="inlineStr">
        <is>
          <t>Fatima Ali</t>
        </is>
      </c>
      <c r="D7" s="14" t="n">
        <v>1</v>
      </c>
      <c r="E7" s="14" t="inlineStr">
        <is>
          <t>High</t>
        </is>
      </c>
      <c r="F7" s="14" t="inlineStr">
        <is>
          <t>High</t>
        </is>
      </c>
      <c r="G7" s="14" t="inlineStr">
        <is>
          <t>High</t>
        </is>
      </c>
      <c r="H7" s="14" t="inlineStr">
        <is>
          <t>T1021 Remote Services (lateral movement), Administrator error (deletion)</t>
        </is>
      </c>
      <c r="I7" s="14" t="inlineStr">
        <is>
          <t>V03 HVMC-Data-NSG has no deny rule; default AllowVnetInBound (65000) permits Web→Data on any port; V15 0 resource locks on the production resource group</t>
        </is>
      </c>
      <c r="J7" s="14" t="inlineStr">
        <is>
          <t>R03, R15</t>
        </is>
      </c>
      <c r="K7" s="14" t="inlineStr">
        <is>
          <t>R03</t>
        </is>
      </c>
      <c r="L7" s="16" t="n">
        <v>13.56</v>
      </c>
      <c r="M7" s="14" t="inlineStr">
        <is>
          <t>High</t>
        </is>
      </c>
      <c r="N7" s="14" t="inlineStr">
        <is>
          <t>—</t>
        </is>
      </c>
      <c r="O7" s="14" t="inlineStr">
        <is>
          <t>HVMC-Data-NSG, HVMC-CloudSecurity-RG</t>
        </is>
      </c>
      <c r="P7" s="14" t="inlineStr">
        <is>
          <t>EHR database (SQL 1433)</t>
        </is>
      </c>
    </row>
    <row r="8" ht="75" customHeight="1">
      <c r="A8" s="14" t="inlineStr">
        <is>
          <t>Pharmacy Management System</t>
        </is>
      </c>
      <c r="B8" s="14" t="inlineStr">
        <is>
          <t>Clinical system</t>
        </is>
      </c>
      <c r="C8" s="14" t="inlineStr">
        <is>
          <t>David Patel</t>
        </is>
      </c>
      <c r="D8" s="14" t="n">
        <v>1</v>
      </c>
      <c r="E8" s="14" t="inlineStr">
        <is>
          <t>Mod</t>
        </is>
      </c>
      <c r="F8" s="14" t="inlineStr">
        <is>
          <t>High</t>
        </is>
      </c>
      <c r="G8" s="14" t="inlineStr">
        <is>
          <t>High</t>
        </is>
      </c>
      <c r="H8" s="14" t="inlineStr">
        <is>
          <t>T1021 Remote Services (lateral movement), Insider misuse (record snooping)</t>
        </is>
      </c>
      <c r="I8" s="14" t="inlineStr">
        <is>
          <t>V03 HVMC-Data-NSG has no deny rule; default AllowVnetInBound (65000) permits Web→Data on any port; V13 no record-level access auditing or monthly access-log review</t>
        </is>
      </c>
      <c r="J8" s="14" t="inlineStr">
        <is>
          <t>R03, R13</t>
        </is>
      </c>
      <c r="K8" s="14" t="inlineStr">
        <is>
          <t>R03</t>
        </is>
      </c>
      <c r="L8" s="16" t="n">
        <v>13.56</v>
      </c>
      <c r="M8" s="14" t="inlineStr">
        <is>
          <t>High</t>
        </is>
      </c>
      <c r="N8" s="20" t="n">
        <v>74960.2932</v>
      </c>
      <c r="O8" s="14" t="inlineStr">
        <is>
          <t>Entra ID, network, EHR orders</t>
        </is>
      </c>
      <c r="P8" s="14" t="inlineStr">
        <is>
          <t>Pharmacists (3), nursing medication administration</t>
        </is>
      </c>
    </row>
    <row r="9" ht="75" customHeight="1">
      <c r="A9" s="14" t="inlineStr">
        <is>
          <t>Entra ID tenant</t>
        </is>
      </c>
      <c r="B9" s="14" t="inlineStr">
        <is>
          <t>Identity platform (SaaS)</t>
        </is>
      </c>
      <c r="C9" s="14" t="inlineStr">
        <is>
          <t>Sabitha S Karanavar</t>
        </is>
      </c>
      <c r="D9" s="14" t="n">
        <v>1</v>
      </c>
      <c r="E9" s="14" t="inlineStr">
        <is>
          <t>High</t>
        </is>
      </c>
      <c r="F9" s="14" t="inlineStr">
        <is>
          <t>High</t>
        </is>
      </c>
      <c r="G9" s="14" t="inlineStr">
        <is>
          <t>High</t>
        </is>
      </c>
      <c r="H9" s="14" t="inlineStr">
        <is>
          <t>T1078.004 Valid Cloud Accounts (admin), T1078 Valid Accounts (third party), T1528 Steal Application Access Token, T1566 / T1557 Phishing, Adversary-in-the-Middle</t>
        </is>
      </c>
      <c r="I9" s="14" t="inlineStr">
        <is>
          <t>V04 1 Global Administrator, no break-glass account, same person is subscription Owner; V06 Carlos Diaz account has no expiry date; no business associate agreement on file; V08 any user can register apps and create tenants; guest invites allowed from everyone; V12 security defaults allow push/OTP MFA; no Conditional Access or phishing-resistant MFA</t>
        </is>
      </c>
      <c r="J9" s="14" t="inlineStr">
        <is>
          <t>R04, R06, R08, R12</t>
        </is>
      </c>
      <c r="K9" s="14" t="inlineStr">
        <is>
          <t>R04</t>
        </is>
      </c>
      <c r="L9" s="16" t="n">
        <v>9.720000000000001</v>
      </c>
      <c r="M9" s="14" t="inlineStr">
        <is>
          <t>Medium</t>
        </is>
      </c>
      <c r="N9" s="20" t="n">
        <v>168180.145</v>
      </c>
      <c r="O9" s="14" t="inlineStr">
        <is>
          <t>Microsoft cloud; one Global Admin account</t>
        </is>
      </c>
      <c r="P9" s="14" t="inlineStr">
        <is>
          <t>All 9 HVMC systems, Azure RBAC, VPN</t>
        </is>
      </c>
    </row>
    <row r="10" ht="75" customHeight="1">
      <c r="A10" s="14" t="inlineStr">
        <is>
          <t>Laboratory Information System</t>
        </is>
      </c>
      <c r="B10" s="14" t="inlineStr">
        <is>
          <t>Clinical system</t>
        </is>
      </c>
      <c r="C10" s="14" t="inlineStr">
        <is>
          <t>Elena Petrova</t>
        </is>
      </c>
      <c r="D10" s="14" t="n">
        <v>1</v>
      </c>
      <c r="E10" s="14" t="inlineStr">
        <is>
          <t>Mod</t>
        </is>
      </c>
      <c r="F10" s="14" t="inlineStr">
        <is>
          <t>High</t>
        </is>
      </c>
      <c r="G10" s="14" t="inlineStr">
        <is>
          <t>Mod</t>
        </is>
      </c>
      <c r="H10" s="14" t="inlineStr">
        <is>
          <t>T1566 / T1557 Phishing, Adversary-in-the-Middle, Insider misuse (record snooping)</t>
        </is>
      </c>
      <c r="I10" s="14" t="inlineStr">
        <is>
          <t>V12 security defaults allow push/OTP MFA; no Conditional Access or phishing-resistant MFA; V13 no record-level access auditing or monthly access-log review</t>
        </is>
      </c>
      <c r="J10" s="14" t="inlineStr">
        <is>
          <t>R12, R13</t>
        </is>
      </c>
      <c r="K10" s="14" t="inlineStr">
        <is>
          <t>R12</t>
        </is>
      </c>
      <c r="L10" s="16" t="n">
        <v>8.91</v>
      </c>
      <c r="M10" s="14" t="inlineStr">
        <is>
          <t>Medium</t>
        </is>
      </c>
      <c r="N10" s="20" t="n">
        <v>243140.4382</v>
      </c>
      <c r="O10" s="14" t="inlineStr">
        <is>
          <t>Entra ID, network, EHR order feed</t>
        </is>
      </c>
      <c r="P10" s="14" t="inlineStr">
        <is>
          <t>EHR (results), clinicians</t>
        </is>
      </c>
    </row>
    <row r="11" ht="75" customHeight="1">
      <c r="A11" s="14" t="inlineStr">
        <is>
          <t>Security Monitoring Portal</t>
        </is>
      </c>
      <c r="B11" s="14" t="inlineStr">
        <is>
          <t>Security operations</t>
        </is>
      </c>
      <c r="C11" s="14" t="inlineStr">
        <is>
          <t>Denise Coleman</t>
        </is>
      </c>
      <c r="D11" s="14" t="n">
        <v>2</v>
      </c>
      <c r="E11" s="14" t="inlineStr">
        <is>
          <t>Mod</t>
        </is>
      </c>
      <c r="F11" s="14" t="inlineStr">
        <is>
          <t>High</t>
        </is>
      </c>
      <c r="G11" s="14" t="inlineStr">
        <is>
          <t>Mod</t>
        </is>
      </c>
      <c r="H11" s="14" t="inlineStr">
        <is>
          <t>T1562.008 Disable Cloud Logs, Process failure (late breach notice)</t>
        </is>
      </c>
      <c r="I11" s="14" t="inlineStr">
        <is>
          <t>V01 0 Log Analytics workspaces, 0 activity-log diagnostic settings, 0 alert rules, 0 NSG flow logs; V16 Privacy Officer role vacant</t>
        </is>
      </c>
      <c r="J11" s="14" t="inlineStr">
        <is>
          <t>R01, R16</t>
        </is>
      </c>
      <c r="K11" s="14" t="inlineStr">
        <is>
          <t>R01</t>
        </is>
      </c>
      <c r="L11" s="16" t="n">
        <v>16.64</v>
      </c>
      <c r="M11" s="14" t="inlineStr">
        <is>
          <t>High</t>
        </is>
      </c>
      <c r="N11" s="20" t="n">
        <v>864926.4599999998</v>
      </c>
      <c r="O11" s="14" t="inlineStr">
        <is>
          <t>Entra ID, Log Analytics (not deployed)</t>
        </is>
      </c>
      <c r="P11" s="14" t="inlineStr">
        <is>
          <t>Incident response, HIPAA audit review</t>
        </is>
      </c>
    </row>
    <row r="12" ht="75" customHeight="1">
      <c r="A12" s="14" t="inlineStr">
        <is>
          <t>IT Administration Console</t>
        </is>
      </c>
      <c r="B12" s="14" t="inlineStr">
        <is>
          <t>Privileged administration</t>
        </is>
      </c>
      <c r="C12" s="14" t="inlineStr">
        <is>
          <t>Kevin O'Brien</t>
        </is>
      </c>
      <c r="D12" s="14" t="n">
        <v>2</v>
      </c>
      <c r="E12" s="14" t="inlineStr">
        <is>
          <t>High</t>
        </is>
      </c>
      <c r="F12" s="14" t="inlineStr">
        <is>
          <t>High</t>
        </is>
      </c>
      <c r="G12" s="14" t="inlineStr">
        <is>
          <t>Mod</t>
        </is>
      </c>
      <c r="H12" s="14" t="inlineStr">
        <is>
          <t>T1078.004 Valid Cloud Accounts (admin), Administrator error (deletion)</t>
        </is>
      </c>
      <c r="I12" s="14" t="inlineStr">
        <is>
          <t>V04 1 Global Administrator, no break-glass account, same person is subscription Owner; V15 0 resource locks on the production resource group</t>
        </is>
      </c>
      <c r="J12" s="14" t="inlineStr">
        <is>
          <t>R04, R15</t>
        </is>
      </c>
      <c r="K12" s="14" t="inlineStr">
        <is>
          <t>R04</t>
        </is>
      </c>
      <c r="L12" s="16" t="n">
        <v>9.720000000000001</v>
      </c>
      <c r="M12" s="14" t="inlineStr">
        <is>
          <t>Medium</t>
        </is>
      </c>
      <c r="N12" s="14" t="inlineStr">
        <is>
          <t>—</t>
        </is>
      </c>
      <c r="O12" s="14" t="inlineStr">
        <is>
          <t>Entra ID, HVMC-Bastion</t>
        </is>
      </c>
      <c r="P12" s="14" t="inlineStr">
        <is>
          <t>All infrastructure changes</t>
        </is>
      </c>
    </row>
    <row r="13" ht="75" customHeight="1">
      <c r="A13" s="14" t="inlineStr">
        <is>
          <t>Legacy public server</t>
        </is>
      </c>
      <c r="B13" s="14" t="inlineStr">
        <is>
          <t>Internet-facing host (lab scan target)</t>
        </is>
      </c>
      <c r="C13" s="14" t="inlineStr">
        <is>
          <t>Kevin O'Brien</t>
        </is>
      </c>
      <c r="D13" s="14" t="n">
        <v>3</v>
      </c>
      <c r="E13" s="14" t="inlineStr">
        <is>
          <t>Low</t>
        </is>
      </c>
      <c r="F13" s="14" t="inlineStr">
        <is>
          <t>Mod</t>
        </is>
      </c>
      <c r="G13" s="14" t="inlineStr">
        <is>
          <t>Low</t>
        </is>
      </c>
      <c r="H13" s="14" t="inlineStr">
        <is>
          <t>T1190 Exploit Public-Facing Application</t>
        </is>
      </c>
      <c r="I13" s="14" t="inlineStr">
        <is>
          <t>V09 decade-old OpenSSH with ssh-agent forwarding flaw; V10 Apache 2.4.7 with public exploits available</t>
        </is>
      </c>
      <c r="J13" s="14" t="inlineStr">
        <is>
          <t>R09, R10</t>
        </is>
      </c>
      <c r="K13" s="14" t="inlineStr">
        <is>
          <t>R10</t>
        </is>
      </c>
      <c r="L13" s="16" t="n">
        <v>12.76</v>
      </c>
      <c r="M13" s="14" t="inlineStr">
        <is>
          <t>High</t>
        </is>
      </c>
      <c r="N13" s="14" t="inlineStr">
        <is>
          <t>—</t>
        </is>
      </c>
      <c r="O13" s="14" t="inlineStr">
        <is>
          <t>Internet</t>
        </is>
      </c>
      <c r="P13" s="14" t="inlineStr">
        <is>
          <t>None (isolated)</t>
        </is>
      </c>
    </row>
    <row r="14" ht="75" customHeight="1">
      <c r="A14" s="14" t="inlineStr">
        <is>
          <t>VPN Portal</t>
        </is>
      </c>
      <c r="B14" s="14" t="inlineStr">
        <is>
          <t>Remote access</t>
        </is>
      </c>
      <c r="C14" s="14" t="inlineStr">
        <is>
          <t>Kevin O'Brien</t>
        </is>
      </c>
      <c r="D14" s="14" t="n">
        <v>3</v>
      </c>
      <c r="E14" s="14" t="inlineStr">
        <is>
          <t>Mod</t>
        </is>
      </c>
      <c r="F14" s="14" t="inlineStr">
        <is>
          <t>Mod</t>
        </is>
      </c>
      <c r="G14" s="14" t="inlineStr">
        <is>
          <t>Mod</t>
        </is>
      </c>
      <c r="H14" s="14" t="inlineStr">
        <is>
          <t>T1078 Valid Accounts (third party)</t>
        </is>
      </c>
      <c r="I14" s="14" t="inlineStr">
        <is>
          <t>V06 Carlos Diaz account has no expiry date; no business associate agreement on file</t>
        </is>
      </c>
      <c r="J14" s="14" t="inlineStr">
        <is>
          <t>R06</t>
        </is>
      </c>
      <c r="K14" s="14" t="inlineStr">
        <is>
          <t>R06</t>
        </is>
      </c>
      <c r="L14" s="16" t="n">
        <v>4.6</v>
      </c>
      <c r="M14" s="14" t="inlineStr">
        <is>
          <t>Low</t>
        </is>
      </c>
      <c r="N14" s="14" t="inlineStr">
        <is>
          <t>—</t>
        </is>
      </c>
      <c r="O14" s="14" t="inlineStr">
        <is>
          <t>Entra ID</t>
        </is>
      </c>
      <c r="P14" s="14" t="inlineStr">
        <is>
          <t>Contractor (Carlos Diaz)</t>
        </is>
      </c>
    </row>
    <row r="15" ht="75" customHeight="1">
      <c r="A15" s="14" t="inlineStr">
        <is>
          <t>HR Portal &amp; Payroll</t>
        </is>
      </c>
      <c r="B15" s="14" t="inlineStr">
        <is>
          <t>Business systems</t>
        </is>
      </c>
      <c r="C15" s="14" t="inlineStr">
        <is>
          <t>Daniel Osei / Brian Adeyemi</t>
        </is>
      </c>
      <c r="D15" s="14" t="n">
        <v>3</v>
      </c>
      <c r="E15" s="14" t="inlineStr">
        <is>
          <t>Mod</t>
        </is>
      </c>
      <c r="F15" s="14" t="inlineStr">
        <is>
          <t>Mod</t>
        </is>
      </c>
      <c r="G15" s="14" t="inlineStr">
        <is>
          <t>Low</t>
        </is>
      </c>
      <c r="H15" s="14" t="inlineStr">
        <is>
          <t>Negligent insider</t>
        </is>
      </c>
      <c r="I15" s="14" t="inlineStr">
        <is>
          <t>V14 no sanction policy; HIPAA training completion not recorded</t>
        </is>
      </c>
      <c r="J15" s="14" t="inlineStr">
        <is>
          <t>R14</t>
        </is>
      </c>
      <c r="K15" s="14" t="inlineStr">
        <is>
          <t>R14</t>
        </is>
      </c>
      <c r="L15" s="16" t="n">
        <v>3.94</v>
      </c>
      <c r="M15" s="14" t="inlineStr">
        <is>
          <t>Low</t>
        </is>
      </c>
      <c r="N15" s="14" t="inlineStr">
        <is>
          <t>—</t>
        </is>
      </c>
      <c r="O15" s="14" t="inlineStr">
        <is>
          <t>Entra ID</t>
        </is>
      </c>
      <c r="P15" s="14" t="inlineStr">
        <is>
          <t>HR (2), Finance (2)</t>
        </is>
      </c>
    </row>
  </sheetData>
  <autoFilter ref="A4:P15"/>
  <conditionalFormatting sqref="M5:M15">
    <cfRule type="expression" priority="1" dxfId="0">
      <formula>M5="Critical"</formula>
    </cfRule>
    <cfRule type="expression" priority="2" dxfId="1">
      <formula>M5="High"</formula>
    </cfRule>
    <cfRule type="expression" priority="3" dxfId="2">
      <formula>M5="Medium"</formula>
    </cfRule>
    <cfRule type="expression" priority="4" dxfId="3">
      <formula>M5="Low"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G16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14" customWidth="1" min="4" max="4"/>
    <col width="22" customWidth="1" min="5" max="5"/>
    <col width="22" customWidth="1" min="6" max="6"/>
    <col width="12" customWidth="1" min="7" max="7"/>
  </cols>
  <sheetData>
    <row r="1">
      <c r="A1" s="1" t="inlineStr">
        <is>
          <t>Evaluation Criteria — Stakeholder Approval</t>
        </is>
      </c>
    </row>
    <row r="2">
      <c r="A2" s="2" t="inlineStr">
        <is>
          <t>Simulated sign-off for the lab project. Replace with real signatures/dates if collected.</t>
        </is>
      </c>
    </row>
    <row r="4" ht="32" customHeight="1">
      <c r="A4" s="4" t="inlineStr">
        <is>
          <t>Name</t>
        </is>
      </c>
      <c r="B4" s="4" t="inlineStr">
        <is>
          <t>Role</t>
        </is>
      </c>
      <c r="C4" s="4" t="inlineStr">
        <is>
          <t>Reviewed</t>
        </is>
      </c>
      <c r="D4" s="4" t="inlineStr">
        <is>
          <t>Approval role</t>
        </is>
      </c>
      <c r="E4" s="4" t="inlineStr">
        <is>
          <t>Decision</t>
        </is>
      </c>
      <c r="F4" s="4" t="inlineStr">
        <is>
          <t>Signature</t>
        </is>
      </c>
      <c r="G4" s="4" t="inlineStr">
        <is>
          <t>Date</t>
        </is>
      </c>
    </row>
    <row r="5" ht="30" customHeight="1">
      <c r="A5" s="14" t="inlineStr">
        <is>
          <t>Denise Coleman</t>
        </is>
      </c>
      <c r="B5" s="14" t="inlineStr">
        <is>
          <t>Security Supervisor / HIPAA Security Officer</t>
        </is>
      </c>
      <c r="C5" s="14" t="inlineStr">
        <is>
          <t>Overall criteria, compliance scale</t>
        </is>
      </c>
      <c r="D5" s="14" t="inlineStr">
        <is>
          <t>Owner</t>
        </is>
      </c>
      <c r="E5" s="14" t="inlineStr">
        <is>
          <t>Approved (simulated)</t>
        </is>
      </c>
      <c r="F5" s="14" t="inlineStr"/>
      <c r="G5" s="14" t="inlineStr">
        <is>
          <t>2026-10-14</t>
        </is>
      </c>
    </row>
    <row r="6" ht="30" customHeight="1">
      <c r="A6" s="14" t="inlineStr">
        <is>
          <t>Kevin O'Brien</t>
        </is>
      </c>
      <c r="B6" s="14" t="inlineStr">
        <is>
          <t>IT Manager / IT Risk Owner</t>
        </is>
      </c>
      <c r="C6" s="14" t="inlineStr">
        <is>
          <t>Operational scale, RTO/RPO feasibility</t>
        </is>
      </c>
      <c r="D6" s="14" t="inlineStr">
        <is>
          <t>Approver</t>
        </is>
      </c>
      <c r="E6" s="14" t="inlineStr">
        <is>
          <t>Approved (simulated)</t>
        </is>
      </c>
      <c r="F6" s="14" t="inlineStr"/>
      <c r="G6" s="14" t="inlineStr">
        <is>
          <t>2026-10-14</t>
        </is>
      </c>
    </row>
    <row r="7" ht="30" customHeight="1">
      <c r="A7" s="14" t="inlineStr">
        <is>
          <t>Brian Adeyemi</t>
        </is>
      </c>
      <c r="B7" s="14" t="inlineStr">
        <is>
          <t>Finance Manager</t>
        </is>
      </c>
      <c r="C7" s="14" t="inlineStr">
        <is>
          <t>Financial scale, BIA cost assumptions</t>
        </is>
      </c>
      <c r="D7" s="14" t="inlineStr">
        <is>
          <t>Approver</t>
        </is>
      </c>
      <c r="E7" s="14" t="inlineStr">
        <is>
          <t>Approved (simulated)</t>
        </is>
      </c>
      <c r="F7" s="14" t="inlineStr"/>
      <c r="G7" s="14" t="inlineStr">
        <is>
          <t>2026-10-14</t>
        </is>
      </c>
    </row>
    <row r="8" ht="30" customHeight="1">
      <c r="A8" s="14" t="inlineStr">
        <is>
          <t>Sarah Chen</t>
        </is>
      </c>
      <c r="B8" s="14" t="inlineStr">
        <is>
          <t>Physician, EHR Data Owner</t>
        </is>
      </c>
      <c r="C8" s="14" t="inlineStr">
        <is>
          <t>Patient-safety limits, clinical MTDs</t>
        </is>
      </c>
      <c r="D8" s="14" t="inlineStr">
        <is>
          <t>Approver</t>
        </is>
      </c>
      <c r="E8" s="14" t="inlineStr">
        <is>
          <t>Approved (simulated)</t>
        </is>
      </c>
      <c r="F8" s="14" t="inlineStr"/>
      <c r="G8" s="14" t="inlineStr">
        <is>
          <t>2026-10-14</t>
        </is>
      </c>
    </row>
    <row r="9" ht="30" customHeight="1">
      <c r="A9" s="14" t="inlineStr">
        <is>
          <t>Elena Petrova</t>
        </is>
      </c>
      <c r="B9" s="14" t="inlineStr">
        <is>
          <t>Lab Manager, LIS Owner</t>
        </is>
      </c>
      <c r="C9" s="14" t="inlineStr">
        <is>
          <t>LIS MTD/RPO</t>
        </is>
      </c>
      <c r="D9" s="14" t="inlineStr">
        <is>
          <t>Reviewer</t>
        </is>
      </c>
      <c r="E9" s="14" t="inlineStr">
        <is>
          <t>Approved (simulated)</t>
        </is>
      </c>
      <c r="F9" s="14" t="inlineStr"/>
      <c r="G9" s="14" t="inlineStr">
        <is>
          <t>2026-10-14</t>
        </is>
      </c>
    </row>
    <row r="10" ht="30" customHeight="1">
      <c r="A10" s="14" t="inlineStr">
        <is>
          <t>David Patel</t>
        </is>
      </c>
      <c r="B10" s="14" t="inlineStr">
        <is>
          <t>Pharmacist, Pharmacy System Owner</t>
        </is>
      </c>
      <c r="C10" s="14" t="inlineStr">
        <is>
          <t>Pharmacy MTD/RPO</t>
        </is>
      </c>
      <c r="D10" s="14" t="inlineStr">
        <is>
          <t>Reviewer</t>
        </is>
      </c>
      <c r="E10" s="14" t="inlineStr">
        <is>
          <t>Approved (simulated)</t>
        </is>
      </c>
      <c r="F10" s="14" t="inlineStr"/>
      <c r="G10" s="14" t="inlineStr">
        <is>
          <t>2026-10-14</t>
        </is>
      </c>
    </row>
    <row r="11" ht="30" customHeight="1">
      <c r="A11" s="14" t="inlineStr">
        <is>
          <t>Executive Risk Committee</t>
        </is>
      </c>
      <c r="B11" s="14" t="inlineStr">
        <is>
          <t>CEO, CFO, CMO (not modeled in tenant)</t>
        </is>
      </c>
      <c r="C11" s="14" t="inlineStr">
        <is>
          <t>Final approval of weights and tolerances</t>
        </is>
      </c>
      <c r="D11" s="14" t="inlineStr">
        <is>
          <t>Final approver</t>
        </is>
      </c>
      <c r="E11" s="14" t="inlineStr">
        <is>
          <t>Approved (simulated)</t>
        </is>
      </c>
      <c r="F11" s="14" t="inlineStr"/>
      <c r="G11" s="14" t="inlineStr">
        <is>
          <t>2026-10-14</t>
        </is>
      </c>
    </row>
    <row r="13">
      <c r="A13" s="22" t="inlineStr">
        <is>
          <t>Review cycle: annually, or after a major incident, new system, or change in regulation. Version history kept on this sheet.</t>
        </is>
      </c>
    </row>
    <row r="15" ht="32" customHeight="1">
      <c r="A15" s="4" t="inlineStr">
        <is>
          <t>Version</t>
        </is>
      </c>
      <c r="B15" s="4" t="inlineStr">
        <is>
          <t>Date</t>
        </is>
      </c>
      <c r="C15" s="4" t="inlineStr">
        <is>
          <t>Change</t>
        </is>
      </c>
      <c r="D15" s="4" t="inlineStr">
        <is>
          <t>Approved by</t>
        </is>
      </c>
    </row>
    <row r="16">
      <c r="A16" s="14" t="inlineStr">
        <is>
          <t>1.0</t>
        </is>
      </c>
      <c r="B16" s="14" t="inlineStr">
        <is>
          <t>2026-10-14</t>
        </is>
      </c>
      <c r="C16" s="14" t="inlineStr">
        <is>
          <t>Initial criteria, AHP weights, BIA tolerances</t>
        </is>
      </c>
      <c r="D16" s="14" t="inlineStr">
        <is>
          <t>Executive Risk Committee (simulated)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2026-10-14T18:21:15Z</dcterms:created>
  <dcterms:modified xsi:type="dcterms:W3CDTF">2026-10-14T18:21:15Z</dcterms:modified>
</cp:coreProperties>
</file>