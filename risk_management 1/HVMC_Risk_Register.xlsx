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History" sheetId="2" state="visible" r:id="rId2"/>
    <sheet name="Heat Map" sheetId="3" state="visible" r:id="rId3"/>
    <sheet name="ALE Calculator" sheetId="4" state="visible" r:id="rId4"/>
    <sheet name="Checklist" sheetId="5" state="visible" r:id="rId5"/>
    <sheet name="Scales" sheetId="6" state="visible" r:id="rId6"/>
  </sheets>
  <definedNames>
    <definedName name="_xlnm._FilterDatabase" localSheetId="0" hidden="1">'Register'!$A$4:$S$20</definedName>
    <definedName name="_xlnm._FilterDatabase" localSheetId="1" hidden="1">'History'!$A$4:$I$23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"/>
    <numFmt numFmtId="166" formatCode="#,##0&quot;×&quot;"/>
  </numFmts>
  <fonts count="13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B7A90"/>
    </font>
    <font>
      <b val="1"/>
      <color rgb="00FFFFFF"/>
    </font>
    <font>
      <b val="1"/>
    </font>
    <font>
      <b val="1"/>
      <color rgb="001F3864"/>
    </font>
    <font>
      <b val="1"/>
      <color rgb="00222222"/>
    </font>
    <font>
      <b val="1"/>
      <color rgb="00FFFFFF"/>
      <sz val="14"/>
    </font>
    <font>
      <b val="1"/>
      <color rgb="00222222"/>
      <sz val="14"/>
    </font>
    <font>
      <i val="1"/>
    </font>
    <font>
      <b val="1"/>
      <color rgb="001F3864"/>
      <sz val="12"/>
    </font>
    <font>
      <b val="1"/>
      <color rgb="001B7A3A"/>
    </font>
    <font>
      <b val="1"/>
      <color rgb="00B3261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3261E"/>
      </patternFill>
    </fill>
    <fill>
      <patternFill patternType="solid">
        <fgColor rgb="00E8710A"/>
      </patternFill>
    </fill>
    <fill>
      <patternFill patternType="solid">
        <fgColor rgb="00F2C037"/>
      </patternFill>
    </fill>
    <fill>
      <patternFill patternType="solid">
        <fgColor rgb="005AA469"/>
      </patternFill>
    </fill>
    <fill>
      <patternFill patternType="solid">
        <fgColor rgb="00FFF4C2"/>
      </patternFill>
    </fill>
  </fills>
  <borders count="3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6" fillId="5" borderId="0" pivotButton="0" quotePrefix="0" xfId="0"/>
    <xf numFmtId="0" fontId="3" fillId="6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center"/>
    </xf>
    <xf numFmtId="0" fontId="7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9" fillId="0" borderId="0" pivotButton="0" quotePrefix="0" xfId="0"/>
    <xf numFmtId="165" fontId="0" fillId="7" borderId="0" pivotButton="0" quotePrefix="0" xfId="0"/>
    <xf numFmtId="165" fontId="4" fillId="0" borderId="0" pivotButton="0" quotePrefix="0" xfId="0"/>
    <xf numFmtId="165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10" fillId="0" borderId="0" pivotButton="0" quotePrefix="0" xfId="0"/>
    <xf numFmtId="0" fontId="0" fillId="7" borderId="0" pivotButton="0" quotePrefix="0" xfId="0"/>
    <xf numFmtId="0" fontId="3" fillId="2" borderId="0" pivotButton="0" quotePrefix="0" xfId="0"/>
    <xf numFmtId="165" fontId="3" fillId="2" borderId="0" pivotButton="0" quotePrefix="0" xfId="0"/>
    <xf numFmtId="165" fontId="0" fillId="0" borderId="0" pivotButton="0" quotePrefix="0" xfId="0"/>
    <xf numFmtId="165" fontId="11" fillId="0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9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B3261E"/>
        </patternFill>
      </fill>
    </dxf>
    <dxf>
      <font>
        <b val="1"/>
        <color rgb="00FFFFFF"/>
      </font>
      <fill>
        <patternFill patternType="solid">
          <fgColor rgb="00E8710A"/>
        </patternFill>
      </fill>
    </dxf>
    <dxf>
      <font>
        <b val="1"/>
        <color rgb="00222222"/>
      </font>
      <fill>
        <patternFill patternType="solid">
          <fgColor rgb="00F2C037"/>
        </patternFill>
      </fill>
    </dxf>
    <dxf>
      <font>
        <b val="1"/>
        <color rgb="00FFFFFF"/>
      </font>
      <fill>
        <patternFill patternType="solid">
          <fgColor rgb="005AA46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zoomScale="11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28" customWidth="1" min="4" max="4"/>
    <col width="40" customWidth="1" min="5" max="5"/>
    <col width="12" customWidth="1" min="6" max="6"/>
    <col width="10" customWidth="1" min="7" max="7"/>
    <col width="9" customWidth="1" min="8" max="8"/>
    <col width="7" customWidth="1" min="9" max="9"/>
    <col width="10" customWidth="1" min="10" max="10"/>
    <col width="48" customWidth="1" min="11" max="11"/>
    <col width="18" customWidth="1" min="12" max="12"/>
    <col width="38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</cols>
  <sheetData>
    <row r="1">
      <c r="A1" s="1" t="inlineStr">
        <is>
          <t>HVMC Risk Register</t>
        </is>
      </c>
    </row>
    <row r="2">
      <c r="A2" s="2" t="inlineStr">
        <is>
          <t>Horizon Valley Medical Center — Healthcare IAM Operations Simulation · Prepared by Sabitha S Karanavar · October 13, 2026 · Score and Rating are formulas; log every change on the History sheet</t>
        </is>
      </c>
    </row>
    <row r="4">
      <c r="A4" s="3" t="inlineStr">
        <is>
          <t>ID</t>
        </is>
      </c>
      <c r="B4" s="3" t="inlineStr">
        <is>
          <t>Risk</t>
        </is>
      </c>
      <c r="C4" s="3" t="inlineStr">
        <is>
          <t>Asset</t>
        </is>
      </c>
      <c r="D4" s="3" t="inlineStr">
        <is>
          <t>Threat (ATT&amp;CK)</t>
        </is>
      </c>
      <c r="E4" s="3" t="inlineStr">
        <is>
          <t>Vulnerability (evidence)</t>
        </is>
      </c>
      <c r="F4" s="3" t="inlineStr">
        <is>
          <t>Found by (B=Brainstorm C=Checklist S=SWOT)</t>
        </is>
      </c>
      <c r="G4" s="3" t="inlineStr">
        <is>
          <t>Likelihood (1-5)</t>
        </is>
      </c>
      <c r="H4" s="3" t="inlineStr">
        <is>
          <t>Impact (1-5)</t>
        </is>
      </c>
      <c r="I4" s="3" t="inlineStr">
        <is>
          <t>Score</t>
        </is>
      </c>
      <c r="J4" s="3" t="inlineStr">
        <is>
          <t>Rating</t>
        </is>
      </c>
      <c r="K4" s="3" t="inlineStr">
        <is>
          <t>Scoring rationale</t>
        </is>
      </c>
      <c r="L4" s="3" t="inlineStr">
        <is>
          <t>Owner</t>
        </is>
      </c>
      <c r="M4" s="3" t="inlineStr">
        <is>
          <t>Treatment</t>
        </is>
      </c>
      <c r="N4" s="3" t="inlineStr">
        <is>
          <t>Status</t>
        </is>
      </c>
      <c r="O4" s="3" t="inlineStr">
        <is>
          <t>Date opened</t>
        </is>
      </c>
      <c r="P4" s="3" t="inlineStr">
        <is>
          <t>Target date</t>
        </is>
      </c>
      <c r="Q4" s="3" t="inlineStr">
        <is>
          <t>Last reviewed</t>
        </is>
      </c>
      <c r="R4" s="3" t="inlineStr">
        <is>
          <t>Next review</t>
        </is>
      </c>
      <c r="S4" s="3" t="inlineStr">
        <is>
          <t>Source / link</t>
        </is>
      </c>
    </row>
    <row r="5">
      <c r="A5" s="4" t="inlineStr">
        <is>
          <t>R01</t>
        </is>
      </c>
      <c r="B5" s="4" t="inlineStr">
        <is>
          <t>Security incident goes undetected for months (no central logging or alerting)</t>
        </is>
      </c>
      <c r="C5" s="4" t="inlineStr">
        <is>
          <t>All Azure resources</t>
        </is>
      </c>
      <c r="D5" s="4" t="inlineStr">
        <is>
          <t>External attacker / insider (T1562.008 Disable Cloud Logs)</t>
        </is>
      </c>
      <c r="E5" s="4" t="inlineStr">
        <is>
          <t>V01: 0 Log Analytics workspaces, 0 activity-log diagnostic settings, 0 alert rules, 0 NSG flow logs</t>
        </is>
      </c>
      <c r="F5" s="4" t="inlineStr">
        <is>
          <t>BCS</t>
        </is>
      </c>
      <c r="G5" s="4" t="n">
        <v>4</v>
      </c>
      <c r="H5" s="4" t="n">
        <v>5</v>
      </c>
      <c r="I5" s="5">
        <f>G5*H5</f>
        <v/>
      </c>
      <c r="J5" s="4">
        <f>IF(I5&gt;=20,"Critical",IF(I5&gt;=12,"High",IF(I5&gt;=6,"Medium","Low")))</f>
        <v/>
      </c>
      <c r="K5" s="4" t="inlineStr">
        <is>
          <t>L4: incidents are likely in a year, and with no alerting none would be seen; IBM 2025 puts the healthcare breach lifecycle at 279 days. I5: undetected ePHI exposure reaches 10,000+ records.</t>
        </is>
      </c>
      <c r="L5" s="4" t="inlineStr">
        <is>
          <t>Fatima Ali</t>
        </is>
      </c>
      <c r="M5" s="4" t="inlineStr">
        <is>
          <t>Mitigate: Log Analytics + diagnostic settings + alert rules (G1)</t>
        </is>
      </c>
      <c r="N5" s="4" t="inlineStr">
        <is>
          <t>Open</t>
        </is>
      </c>
      <c r="O5" s="6" t="n">
        <v>46308</v>
      </c>
      <c r="P5" s="6" t="n">
        <v>46319</v>
      </c>
      <c r="Q5" s="6" t="n">
        <v>46308</v>
      </c>
      <c r="R5" s="6">
        <f>Q5+30</f>
        <v/>
      </c>
      <c r="S5" s="4" t="inlineStr">
        <is>
          <t>HIPAA gap G1</t>
        </is>
      </c>
    </row>
    <row r="6">
      <c r="A6" s="4" t="inlineStr">
        <is>
          <t>R02</t>
        </is>
      </c>
      <c r="B6" s="4" t="inlineStr">
        <is>
          <t>ePHI exfiltration from EHR storage over the public internet</t>
        </is>
      </c>
      <c r="C6" s="4" t="inlineStr">
        <is>
          <t>hvmcehrstorage (ePHI)</t>
        </is>
      </c>
      <c r="D6" s="4" t="inlineStr">
        <is>
          <t>External attacker using stolen key or SAS token (T1530 Data from Cloud Storage)</t>
        </is>
      </c>
      <c r="E6" s="4" t="inlineStr">
        <is>
          <t>V02: public network access Enabled, firewall default Allow, shared-key access enabled</t>
        </is>
      </c>
      <c r="F6" s="4" t="inlineStr">
        <is>
          <t>BC</t>
        </is>
      </c>
      <c r="G6" s="4" t="n">
        <v>3</v>
      </c>
      <c r="H6" s="4" t="n">
        <v>5</v>
      </c>
      <c r="I6" s="5">
        <f>G6*H6</f>
        <v/>
      </c>
      <c r="J6" s="4">
        <f>IF(I6&gt;=20,"Critical",IF(I6&gt;=12,"High",IF(I6&gt;=6,"Medium","Low")))</f>
        <v/>
      </c>
      <c r="K6" s="4" t="inlineStr">
        <is>
          <t>L3: storage endpoint is reachable from anywhere; a leaked key alone is enough. I5: whole EHR store exposed.</t>
        </is>
      </c>
      <c r="L6" s="4" t="inlineStr">
        <is>
          <t>Fatima Ali</t>
        </is>
      </c>
      <c r="M6" s="4" t="inlineStr">
        <is>
          <t>Mitigate: deny public access, disable shared key, private endpoint (G2)</t>
        </is>
      </c>
      <c r="N6" s="4" t="inlineStr">
        <is>
          <t>Open</t>
        </is>
      </c>
      <c r="O6" s="6" t="n">
        <v>46308</v>
      </c>
      <c r="P6" s="6" t="n">
        <v>46319</v>
      </c>
      <c r="Q6" s="6" t="n">
        <v>46308</v>
      </c>
      <c r="R6" s="6">
        <f>Q6+30</f>
        <v/>
      </c>
      <c r="S6" s="4" t="inlineStr">
        <is>
          <t>HIPAA gap G2</t>
        </is>
      </c>
    </row>
    <row r="7">
      <c r="A7" s="4" t="inlineStr">
        <is>
          <t>R03</t>
        </is>
      </c>
      <c r="B7" s="4" t="inlineStr">
        <is>
          <t>Lateral movement from Web tier to Data tier</t>
        </is>
      </c>
      <c r="C7" s="4" t="inlineStr">
        <is>
          <t>HVMC-Data-Subnet (SQL 1433)</t>
        </is>
      </c>
      <c r="D7" s="4" t="inlineStr">
        <is>
          <t>Attacker on compromised web server (T1021 Remote Services)</t>
        </is>
      </c>
      <c r="E7" s="4" t="inlineStr">
        <is>
          <t>V03: HVMC-Data-NSG has no deny rule; default AllowVnetInBound (65000) permits Web→Data on any port</t>
        </is>
      </c>
      <c r="F7" s="4" t="inlineStr">
        <is>
          <t>C</t>
        </is>
      </c>
      <c r="G7" s="4" t="n">
        <v>3</v>
      </c>
      <c r="H7" s="4" t="n">
        <v>5</v>
      </c>
      <c r="I7" s="5">
        <f>G7*H7</f>
        <v/>
      </c>
      <c r="J7" s="4">
        <f>IF(I7&gt;=20,"Critical",IF(I7&gt;=12,"High",IF(I7&gt;=6,"Medium","Low")))</f>
        <v/>
      </c>
      <c r="K7" s="4" t="inlineStr">
        <is>
          <t>L3: needs a web-tier compromise first (internet-facing on 443). I5: direct path to the database holding ePHI.</t>
        </is>
      </c>
      <c r="L7" s="4" t="inlineStr">
        <is>
          <t>Fatima Ali</t>
        </is>
      </c>
      <c r="M7" s="4" t="inlineStr">
        <is>
          <t>Mitigate: Deny-All-VNet-Inbound rule priority 4000 on Data and App NSGs (G3)</t>
        </is>
      </c>
      <c r="N7" s="4" t="inlineStr">
        <is>
          <t>Open</t>
        </is>
      </c>
      <c r="O7" s="6" t="n">
        <v>46308</v>
      </c>
      <c r="P7" s="6" t="n">
        <v>46312</v>
      </c>
      <c r="Q7" s="6" t="n">
        <v>46308</v>
      </c>
      <c r="R7" s="6">
        <f>Q7+30</f>
        <v/>
      </c>
      <c r="S7" s="4" t="inlineStr">
        <is>
          <t>HIPAA gap G3</t>
        </is>
      </c>
    </row>
    <row r="8">
      <c r="A8" s="4" t="inlineStr">
        <is>
          <t>R04</t>
        </is>
      </c>
      <c r="B8" s="4" t="inlineStr">
        <is>
          <t>Loss or takeover of the only Global Administrator account</t>
        </is>
      </c>
      <c r="C8" s="4" t="inlineStr">
        <is>
          <t>Entra ID tenant</t>
        </is>
      </c>
      <c r="D8" s="4" t="inlineStr">
        <is>
          <t>Phishing / account lockout (T1078.004 Valid Cloud Accounts)</t>
        </is>
      </c>
      <c r="E8" s="4" t="inlineStr">
        <is>
          <t>V04: 1 Global Administrator, no break-glass account, same person is subscription Owner</t>
        </is>
      </c>
      <c r="F8" s="4" t="inlineStr">
        <is>
          <t>BCS</t>
        </is>
      </c>
      <c r="G8" s="4" t="n">
        <v>3</v>
      </c>
      <c r="H8" s="4" t="n">
        <v>4</v>
      </c>
      <c r="I8" s="5">
        <f>G8*H8</f>
        <v/>
      </c>
      <c r="J8" s="4">
        <f>IF(I8&gt;=20,"Critical",IF(I8&gt;=12,"High",IF(I8&gt;=6,"Medium","Low")))</f>
        <v/>
      </c>
      <c r="K8" s="4" t="inlineStr">
        <is>
          <t>L3: one account, used daily. I4: takeover gives full control; lockout halts all admin and recovery.</t>
        </is>
      </c>
      <c r="L8" s="4" t="inlineStr">
        <is>
          <t>Sabitha S Karanavar</t>
        </is>
      </c>
      <c r="M8" s="4" t="inlineStr">
        <is>
          <t>Mitigate: break-glass account + second admin via PIM (G4)</t>
        </is>
      </c>
      <c r="N8" s="4" t="inlineStr">
        <is>
          <t>Open</t>
        </is>
      </c>
      <c r="O8" s="6" t="n">
        <v>46308</v>
      </c>
      <c r="P8" s="6" t="n">
        <v>46312</v>
      </c>
      <c r="Q8" s="6" t="n">
        <v>46308</v>
      </c>
      <c r="R8" s="6">
        <f>Q8+30</f>
        <v/>
      </c>
      <c r="S8" s="4" t="inlineStr">
        <is>
          <t>HIPAA gap G4</t>
        </is>
      </c>
    </row>
    <row r="9">
      <c r="A9" s="4" t="inlineStr">
        <is>
          <t>R05</t>
        </is>
      </c>
      <c r="B9" s="4" t="inlineStr">
        <is>
          <t>Ransomware or malicious deletion destroys EHR data</t>
        </is>
      </c>
      <c r="C9" s="4" t="inlineStr">
        <is>
          <t>hvmcehrstorage (ePHI)</t>
        </is>
      </c>
      <c r="D9" s="4" t="inlineStr">
        <is>
          <t>Ransomware group (T1486 Data Encrypted for Impact, T1485 Data Destruction)</t>
        </is>
      </c>
      <c r="E9" s="4" t="inlineStr">
        <is>
          <t>V05: blob versioning off, soft delete only 7 days, 0 resource locks, restore never tested</t>
        </is>
      </c>
      <c r="F9" s="4" t="inlineStr">
        <is>
          <t>BS</t>
        </is>
      </c>
      <c r="G9" s="4" t="n">
        <v>3</v>
      </c>
      <c r="H9" s="4" t="n">
        <v>5</v>
      </c>
      <c r="I9" s="5">
        <f>G9*H9</f>
        <v/>
      </c>
      <c r="J9" s="4">
        <f>IF(I9&gt;=20,"Critical",IF(I9&gt;=12,"High",IF(I9&gt;=6,"Medium","Low")))</f>
        <v/>
      </c>
      <c r="K9" s="4" t="inlineStr">
        <is>
          <t>L3: ransomware is the top healthcare threat. I5: &gt;3 days EHR outage and patient-safety impact. Re-scored from 8 (G8) after threat assessment.</t>
        </is>
      </c>
      <c r="L9" s="4" t="inlineStr">
        <is>
          <t>Fatima Ali</t>
        </is>
      </c>
      <c r="M9" s="4" t="inlineStr">
        <is>
          <t>Mitigate: versioning, 30-day soft delete, immutability, resource locks, restore test (G8)</t>
        </is>
      </c>
      <c r="N9" s="4" t="inlineStr">
        <is>
          <t>Open</t>
        </is>
      </c>
      <c r="O9" s="6" t="n">
        <v>46308</v>
      </c>
      <c r="P9" s="6" t="n">
        <v>46326</v>
      </c>
      <c r="Q9" s="6" t="n">
        <v>46308</v>
      </c>
      <c r="R9" s="6">
        <f>Q9+30</f>
        <v/>
      </c>
      <c r="S9" s="4" t="inlineStr">
        <is>
          <t>HIPAA gap G8</t>
        </is>
      </c>
    </row>
    <row r="10">
      <c r="A10" s="4" t="inlineStr">
        <is>
          <t>R06</t>
        </is>
      </c>
      <c r="B10" s="4" t="inlineStr">
        <is>
          <t>Contractor retains access after engagement ends; no BAA</t>
        </is>
      </c>
      <c r="C10" s="4" t="inlineStr">
        <is>
          <t>VPN Portal</t>
        </is>
      </c>
      <c r="D10" s="4" t="inlineStr">
        <is>
          <t>Trusted third party (T1078 Valid Accounts)</t>
        </is>
      </c>
      <c r="E10" s="4" t="inlineStr">
        <is>
          <t>V06: Carlos Diaz account has no expiry date; no business associate agreement on file</t>
        </is>
      </c>
      <c r="F10" s="4" t="inlineStr">
        <is>
          <t>BC</t>
        </is>
      </c>
      <c r="G10" s="4" t="n">
        <v>2</v>
      </c>
      <c r="H10" s="4" t="n">
        <v>4</v>
      </c>
      <c r="I10" s="5">
        <f>G10*H10</f>
        <v/>
      </c>
      <c r="J10" s="4">
        <f>IF(I10&gt;=20,"Critical",IF(I10&gt;=12,"High",IF(I10&gt;=6,"Medium","Low")))</f>
        <v/>
      </c>
      <c r="K10" s="4" t="inlineStr">
        <is>
          <t>L2: one contractor, read-only VPN. I4: unmanaged third-party access is a HIPAA violation even without misuse.</t>
        </is>
      </c>
      <c r="L10" s="4" t="inlineStr">
        <is>
          <t>Kevin O'Brien</t>
        </is>
      </c>
      <c r="M10" s="4" t="inlineStr">
        <is>
          <t>Mitigate: account end date + access review; sign BAA (G6)</t>
        </is>
      </c>
      <c r="N10" s="4" t="inlineStr">
        <is>
          <t>Open</t>
        </is>
      </c>
      <c r="O10" s="6" t="n">
        <v>46308</v>
      </c>
      <c r="P10" s="6" t="n">
        <v>46312</v>
      </c>
      <c r="Q10" s="6" t="n">
        <v>46308</v>
      </c>
      <c r="R10" s="6">
        <f>Q10+30</f>
        <v/>
      </c>
      <c r="S10" s="4" t="inlineStr">
        <is>
          <t>HIPAA gap G6</t>
        </is>
      </c>
    </row>
    <row r="11">
      <c r="A11" s="4" t="inlineStr">
        <is>
          <t>R07</t>
        </is>
      </c>
      <c r="B11" s="4" t="inlineStr">
        <is>
          <t>Shared test account in production can read ePHI</t>
        </is>
      </c>
      <c r="C11" s="4" t="inlineStr">
        <is>
          <t>hvmcehrstorage (ePHI)</t>
        </is>
      </c>
      <c r="D11" s="4" t="inlineStr">
        <is>
          <t>Insider or attacker reusing test credentials (T1078)</t>
        </is>
      </c>
      <c r="E11" s="4" t="inlineStr">
        <is>
          <t>V07: Test Nurse - EHR holds HVMC-Nurse-EHR-ReadOnly on hvmcehrstorage</t>
        </is>
      </c>
      <c r="F11" s="4" t="inlineStr">
        <is>
          <t>C</t>
        </is>
      </c>
      <c r="G11" s="4" t="n">
        <v>2</v>
      </c>
      <c r="H11" s="4" t="n">
        <v>3</v>
      </c>
      <c r="I11" s="5">
        <f>G11*H11</f>
        <v/>
      </c>
      <c r="J11" s="4">
        <f>IF(I11&gt;=20,"Critical",IF(I11&gt;=12,"High",IF(I11&gt;=6,"Medium","Low")))</f>
        <v/>
      </c>
      <c r="K11" s="4" t="inlineStr">
        <is>
          <t>L2: MFA required, account rarely used. I3: read-only, but not traceable to a person.</t>
        </is>
      </c>
      <c r="L11" s="4" t="inlineStr">
        <is>
          <t>Sabitha S Karanavar</t>
        </is>
      </c>
      <c r="M11" s="4" t="inlineStr">
        <is>
          <t>Mitigate: move to non-production or remove role when testing ends (G7)</t>
        </is>
      </c>
      <c r="N11" s="4" t="inlineStr">
        <is>
          <t>Open</t>
        </is>
      </c>
      <c r="O11" s="6" t="n">
        <v>46308</v>
      </c>
      <c r="P11" s="6" t="n">
        <v>46319</v>
      </c>
      <c r="Q11" s="6" t="n">
        <v>46308</v>
      </c>
      <c r="R11" s="6">
        <f>Q11+30</f>
        <v/>
      </c>
      <c r="S11" s="4" t="inlineStr">
        <is>
          <t>HIPAA gap G7</t>
        </is>
      </c>
    </row>
    <row r="12">
      <c r="A12" s="4" t="inlineStr">
        <is>
          <t>R08</t>
        </is>
      </c>
      <c r="B12" s="4" t="inlineStr">
        <is>
          <t>Consent phishing or rogue app via open tenant settings</t>
        </is>
      </c>
      <c r="C12" s="4" t="inlineStr">
        <is>
          <t>Entra ID tenant</t>
        </is>
      </c>
      <c r="D12" s="4" t="inlineStr">
        <is>
          <t>External attacker (T1528 Steal Application Access Token)</t>
        </is>
      </c>
      <c r="E12" s="4" t="inlineStr">
        <is>
          <t>V08: any user can register apps and create tenants; guest invites allowed from everyone</t>
        </is>
      </c>
      <c r="F12" s="4" t="inlineStr">
        <is>
          <t>C</t>
        </is>
      </c>
      <c r="G12" s="4" t="n">
        <v>3</v>
      </c>
      <c r="H12" s="4" t="n">
        <v>4</v>
      </c>
      <c r="I12" s="5">
        <f>G12*H12</f>
        <v/>
      </c>
      <c r="J12" s="4">
        <f>IF(I12&gt;=20,"Critical",IF(I12&gt;=12,"High",IF(I12&gt;=6,"Medium","Low")))</f>
        <v/>
      </c>
      <c r="K12" s="4" t="inlineStr">
        <is>
          <t>L3: illicit-consent attacks are common against Microsoft 365/Entra. I4: app could read user data without MFA prompts.</t>
        </is>
      </c>
      <c r="L12" s="4" t="inlineStr">
        <is>
          <t>Sabitha S Karanavar</t>
        </is>
      </c>
      <c r="M12" s="4" t="inlineStr">
        <is>
          <t>Mitigate: restrict app registration, tenant creation and guest invites to admins</t>
        </is>
      </c>
      <c r="N12" s="4" t="inlineStr">
        <is>
          <t>Open</t>
        </is>
      </c>
      <c r="O12" s="6" t="n">
        <v>46308</v>
      </c>
      <c r="P12" s="6" t="n">
        <v>46319</v>
      </c>
      <c r="Q12" s="6" t="n">
        <v>46308</v>
      </c>
      <c r="R12" s="6">
        <f>Q12+30</f>
        <v/>
      </c>
      <c r="S12" s="4" t="inlineStr"/>
    </row>
    <row r="13">
      <c r="A13" s="4" t="inlineStr">
        <is>
          <t>R09</t>
        </is>
      </c>
      <c r="B13" s="4" t="inlineStr">
        <is>
          <t>Remote code execution via OpenSSH 6.6.1p1 (CVE-2023-38408, CVSS 9.8)</t>
        </is>
      </c>
      <c r="C13" s="4" t="inlineStr">
        <is>
          <t>Legacy public server (scanme.nmap.org lab target)</t>
        </is>
      </c>
      <c r="D13" s="4" t="inlineStr">
        <is>
          <t>External attacker (T1190 Exploit Public-Facing Application)</t>
        </is>
      </c>
      <c r="E13" s="4" t="inlineStr">
        <is>
          <t>V09: decade-old OpenSSH with ssh-agent forwarding flaw</t>
        </is>
      </c>
      <c r="F13" s="4" t="inlineStr">
        <is>
          <t>C</t>
        </is>
      </c>
      <c r="G13" s="4" t="n">
        <v>3</v>
      </c>
      <c r="H13" s="4" t="n">
        <v>5</v>
      </c>
      <c r="I13" s="5">
        <f>G13*H13</f>
        <v/>
      </c>
      <c r="J13" s="4">
        <f>IF(I13&gt;=20,"Critical",IF(I13&gt;=12,"High",IF(I13&gt;=6,"Medium","Low")))</f>
        <v/>
      </c>
      <c r="K13" s="4" t="inlineStr">
        <is>
          <t>L3: needs agent forwarding to an attacker host. I5: full host compromise. Carried from Sept 8 report and re-scored on the 5×5 scale.</t>
        </is>
      </c>
      <c r="L13" s="4" t="inlineStr">
        <is>
          <t>Kevin O'Brien</t>
        </is>
      </c>
      <c r="M13" s="4" t="inlineStr">
        <is>
          <t>Mitigate: upgrade OpenSSH, disable agent forwarding</t>
        </is>
      </c>
      <c r="N13" s="4" t="inlineStr">
        <is>
          <t>Open</t>
        </is>
      </c>
      <c r="O13" s="6" t="n">
        <v>46273</v>
      </c>
      <c r="P13" s="6" t="n">
        <v>46326</v>
      </c>
      <c r="Q13" s="6" t="n">
        <v>46308</v>
      </c>
      <c r="R13" s="6">
        <f>Q13+30</f>
        <v/>
      </c>
      <c r="S13" s="4" t="inlineStr">
        <is>
          <t>Sept risk report</t>
        </is>
      </c>
    </row>
    <row r="14">
      <c r="A14" s="4" t="inlineStr">
        <is>
          <t>R10</t>
        </is>
      </c>
      <c r="B14" s="4" t="inlineStr">
        <is>
          <t>Remote code execution via Apache 2.4.7 mod_lua (CVE-2021-44790, CVSS 9.8)</t>
        </is>
      </c>
      <c r="C14" s="4" t="inlineStr">
        <is>
          <t>Legacy public server (scanme.nmap.org lab target)</t>
        </is>
      </c>
      <c r="D14" s="4" t="inlineStr">
        <is>
          <t>External attacker (T1190)</t>
        </is>
      </c>
      <c r="E14" s="4" t="inlineStr">
        <is>
          <t>V10: Apache 2.4.7 with public exploits available</t>
        </is>
      </c>
      <c r="F14" s="4" t="inlineStr">
        <is>
          <t>C</t>
        </is>
      </c>
      <c r="G14" s="4" t="n">
        <v>4</v>
      </c>
      <c r="H14" s="4" t="n">
        <v>5</v>
      </c>
      <c r="I14" s="5">
        <f>G14*H14</f>
        <v/>
      </c>
      <c r="J14" s="4">
        <f>IF(I14&gt;=20,"Critical",IF(I14&gt;=12,"High",IF(I14&gt;=6,"Medium","Low")))</f>
        <v/>
      </c>
      <c r="K14" s="4" t="inlineStr">
        <is>
          <t>L4: public exploit code exists and the service faces the internet. I5: RCE on a public web server.</t>
        </is>
      </c>
      <c r="L14" s="4" t="inlineStr">
        <is>
          <t>Kevin O'Brien</t>
        </is>
      </c>
      <c r="M14" s="4" t="inlineStr">
        <is>
          <t>Mitigate: upgrade Apache, disable mod_lua, WAF in front</t>
        </is>
      </c>
      <c r="N14" s="4" t="inlineStr">
        <is>
          <t>Open</t>
        </is>
      </c>
      <c r="O14" s="6" t="n">
        <v>46273</v>
      </c>
      <c r="P14" s="6" t="n">
        <v>46326</v>
      </c>
      <c r="Q14" s="6" t="n">
        <v>46308</v>
      </c>
      <c r="R14" s="6">
        <f>Q14+30</f>
        <v/>
      </c>
      <c r="S14" s="4" t="inlineStr">
        <is>
          <t>Sept risk report</t>
        </is>
      </c>
    </row>
    <row r="15">
      <c r="A15" s="4" t="inlineStr">
        <is>
          <t>R11</t>
        </is>
      </c>
      <c r="B15" s="4" t="inlineStr">
        <is>
          <t>Malware uploaded to EHR storage is not detected</t>
        </is>
      </c>
      <c r="C15" s="4" t="inlineStr">
        <is>
          <t>hvmcehrstorage (ePHI)</t>
        </is>
      </c>
      <c r="D15" s="4" t="inlineStr">
        <is>
          <t>External attacker / infected workstation (T1105 Ingress Tool Transfer)</t>
        </is>
      </c>
      <c r="E15" s="4" t="inlineStr">
        <is>
          <t>V11: all Defender for Cloud workload plans on Free tier; 0 security contacts configured</t>
        </is>
      </c>
      <c r="F15" s="4" t="inlineStr">
        <is>
          <t>CS</t>
        </is>
      </c>
      <c r="G15" s="4" t="n">
        <v>3</v>
      </c>
      <c r="H15" s="4" t="n">
        <v>4</v>
      </c>
      <c r="I15" s="5">
        <f>G15*H15</f>
        <v/>
      </c>
      <c r="J15" s="4">
        <f>IF(I15&gt;=20,"Critical",IF(I15&gt;=12,"High",IF(I15&gt;=6,"Medium","Low")))</f>
        <v/>
      </c>
      <c r="K15" s="4" t="inlineStr">
        <is>
          <t>L3: clinical files arrive from many devices. I4: malware spreads to clinician workstations; nobody is notified.</t>
        </is>
      </c>
      <c r="L15" s="4" t="inlineStr">
        <is>
          <t>Denise Coleman</t>
        </is>
      </c>
      <c r="M15" s="4" t="inlineStr">
        <is>
          <t>Mitigate: Defender for Storage + security contact email</t>
        </is>
      </c>
      <c r="N15" s="4" t="inlineStr">
        <is>
          <t>Open</t>
        </is>
      </c>
      <c r="O15" s="6" t="n">
        <v>46308</v>
      </c>
      <c r="P15" s="6" t="n">
        <v>46326</v>
      </c>
      <c r="Q15" s="6" t="n">
        <v>46308</v>
      </c>
      <c r="R15" s="6">
        <f>Q15+30</f>
        <v/>
      </c>
      <c r="S15" s="4" t="inlineStr"/>
    </row>
    <row r="16">
      <c r="A16" s="4" t="inlineStr">
        <is>
          <t>R12</t>
        </is>
      </c>
      <c r="B16" s="4" t="inlineStr">
        <is>
          <t>Clinician credentials stolen by MFA-bypass (AiTM) phishing</t>
        </is>
      </c>
      <c r="C16" s="4" t="inlineStr">
        <is>
          <t>EHR access (Doctors/Nursing groups)</t>
        </is>
      </c>
      <c r="D16" s="4" t="inlineStr">
        <is>
          <t>Phishing operator (T1566 Phishing, T1557 Adversary-in-the-Middle)</t>
        </is>
      </c>
      <c r="E16" s="4" t="inlineStr">
        <is>
          <t>V12: security defaults allow push/OTP MFA; no Conditional Access or phishing-resistant MFA</t>
        </is>
      </c>
      <c r="F16" s="4" t="inlineStr">
        <is>
          <t>BS</t>
        </is>
      </c>
      <c r="G16" s="4" t="n">
        <v>3</v>
      </c>
      <c r="H16" s="4" t="n">
        <v>4</v>
      </c>
      <c r="I16" s="5">
        <f>G16*H16</f>
        <v/>
      </c>
      <c r="J16" s="4">
        <f>IF(I16&gt;=20,"Critical",IF(I16&gt;=12,"High",IF(I16&gt;=6,"Medium","Low")))</f>
        <v/>
      </c>
      <c r="K16" s="4" t="inlineStr">
        <is>
          <t>L3: AiTM kits target healthcare routinely. I4: attacker gets one clinician's EHR read/write access.</t>
        </is>
      </c>
      <c r="L16" s="4" t="inlineStr">
        <is>
          <t>Denise Coleman</t>
        </is>
      </c>
      <c r="M16" s="4" t="inlineStr">
        <is>
          <t>Mitigate: Entra ID P1 Conditional Access + phishing-resistant MFA for clinical groups</t>
        </is>
      </c>
      <c r="N16" s="4" t="inlineStr">
        <is>
          <t>Open</t>
        </is>
      </c>
      <c r="O16" s="6" t="n">
        <v>46308</v>
      </c>
      <c r="P16" s="6" t="n">
        <v>46356</v>
      </c>
      <c r="Q16" s="6" t="n">
        <v>46308</v>
      </c>
      <c r="R16" s="6">
        <f>Q16+30</f>
        <v/>
      </c>
      <c r="S16" s="4" t="inlineStr"/>
    </row>
    <row r="17">
      <c r="A17" s="4" t="inlineStr">
        <is>
          <t>R13</t>
        </is>
      </c>
      <c r="B17" s="4" t="inlineStr">
        <is>
          <t>Workforce member views patient records without a care need (snooping)</t>
        </is>
      </c>
      <c r="C17" s="4" t="inlineStr">
        <is>
          <t>EHR (12 clinical users with RW)</t>
        </is>
      </c>
      <c r="D17" s="4" t="inlineStr">
        <is>
          <t>Curious or malicious insider</t>
        </is>
      </c>
      <c r="E17" s="4" t="inlineStr">
        <is>
          <t>V13: no record-level access auditing or monthly access-log review</t>
        </is>
      </c>
      <c r="F17" s="4" t="inlineStr">
        <is>
          <t>BS</t>
        </is>
      </c>
      <c r="G17" s="4" t="n">
        <v>3</v>
      </c>
      <c r="H17" s="4" t="n">
        <v>4</v>
      </c>
      <c r="I17" s="5">
        <f>G17*H17</f>
        <v/>
      </c>
      <c r="J17" s="4">
        <f>IF(I17&gt;=20,"Critical",IF(I17&gt;=12,"High",IF(I17&gt;=6,"Medium","Low")))</f>
        <v/>
      </c>
      <c r="K17" s="4" t="inlineStr">
        <is>
          <t>L3: most common HIPAA complaint type. I4: OCR investigation, sanctions, loss of patient trust.</t>
        </is>
      </c>
      <c r="L17" s="4" t="inlineStr">
        <is>
          <t>Denise Coleman</t>
        </is>
      </c>
      <c r="M17" s="4" t="inlineStr">
        <is>
          <t>Mitigate: EHR access auditing + monthly review by system owner</t>
        </is>
      </c>
      <c r="N17" s="4" t="inlineStr">
        <is>
          <t>Open</t>
        </is>
      </c>
      <c r="O17" s="6" t="n">
        <v>46308</v>
      </c>
      <c r="P17" s="6" t="n">
        <v>46356</v>
      </c>
      <c r="Q17" s="6" t="n">
        <v>46308</v>
      </c>
      <c r="R17" s="6">
        <f>Q17+30</f>
        <v/>
      </c>
      <c r="S17" s="4" t="inlineStr"/>
    </row>
    <row r="18">
      <c r="A18" s="4" t="inlineStr">
        <is>
          <t>R14</t>
        </is>
      </c>
      <c r="B18" s="4" t="inlineStr">
        <is>
          <t>Workforce violations go unpunished; training not tracked</t>
        </is>
      </c>
      <c r="C18" s="4" t="inlineStr">
        <is>
          <t>Workforce</t>
        </is>
      </c>
      <c r="D18" s="4" t="inlineStr">
        <is>
          <t>Negligent insider</t>
        </is>
      </c>
      <c r="E18" s="4" t="inlineStr">
        <is>
          <t>V14: no sanction policy; HIPAA training completion not recorded</t>
        </is>
      </c>
      <c r="F18" s="4" t="inlineStr">
        <is>
          <t>BC</t>
        </is>
      </c>
      <c r="G18" s="4" t="n">
        <v>2</v>
      </c>
      <c r="H18" s="4" t="n">
        <v>4</v>
      </c>
      <c r="I18" s="5">
        <f>G18*H18</f>
        <v/>
      </c>
      <c r="J18" s="4">
        <f>IF(I18&gt;=20,"Critical",IF(I18&gt;=12,"High",IF(I18&gt;=6,"Medium","Low")))</f>
        <v/>
      </c>
      <c r="K18" s="4" t="inlineStr">
        <is>
          <t>L2: policy gap, not an active threat. I4: required HIPAA standard; OCR penalty exposure.</t>
        </is>
      </c>
      <c r="L18" s="4" t="inlineStr">
        <is>
          <t>Daniel Osei</t>
        </is>
      </c>
      <c r="M18" s="4" t="inlineStr">
        <is>
          <t>Mitigate: write sanction policy, track training (G5)</t>
        </is>
      </c>
      <c r="N18" s="4" t="inlineStr">
        <is>
          <t>Open</t>
        </is>
      </c>
      <c r="O18" s="6" t="n">
        <v>46308</v>
      </c>
      <c r="P18" s="6" t="n">
        <v>46326</v>
      </c>
      <c r="Q18" s="6" t="n">
        <v>46308</v>
      </c>
      <c r="R18" s="6">
        <f>Q18+30</f>
        <v/>
      </c>
      <c r="S18" s="4" t="inlineStr">
        <is>
          <t>HIPAA gap G5</t>
        </is>
      </c>
    </row>
    <row r="19">
      <c r="A19" s="4" t="inlineStr">
        <is>
          <t>R15</t>
        </is>
      </c>
      <c r="B19" s="4" t="inlineStr">
        <is>
          <t>Accidental deletion of production network or storage</t>
        </is>
      </c>
      <c r="C19" s="4" t="inlineStr">
        <is>
          <t>HVMC-CloudSecurity-RG</t>
        </is>
      </c>
      <c r="D19" s="4" t="inlineStr">
        <is>
          <t>Administrator error</t>
        </is>
      </c>
      <c r="E19" s="4" t="inlineStr">
        <is>
          <t>V15: 0 resource locks on the production resource group</t>
        </is>
      </c>
      <c r="F19" s="4" t="inlineStr">
        <is>
          <t>C</t>
        </is>
      </c>
      <c r="G19" s="4" t="n">
        <v>2</v>
      </c>
      <c r="H19" s="4" t="n">
        <v>4</v>
      </c>
      <c r="I19" s="5">
        <f>G19*H19</f>
        <v/>
      </c>
      <c r="J19" s="4">
        <f>IF(I19&gt;=20,"Critical",IF(I19&gt;=12,"High",IF(I19&gt;=6,"Medium","Low")))</f>
        <v/>
      </c>
      <c r="K19" s="4" t="inlineStr">
        <is>
          <t>L2: few admins, changes are infrequent. I4: deleting the VNet or storage takes the patient portal offline.</t>
        </is>
      </c>
      <c r="L19" s="4" t="inlineStr">
        <is>
          <t>Kevin O'Brien</t>
        </is>
      </c>
      <c r="M19" s="4" t="inlineStr">
        <is>
          <t>Mitigate: CanNotDelete lock on HVMC-CloudSecurity-RG</t>
        </is>
      </c>
      <c r="N19" s="4" t="inlineStr">
        <is>
          <t>Open</t>
        </is>
      </c>
      <c r="O19" s="6" t="n">
        <v>46308</v>
      </c>
      <c r="P19" s="6" t="n">
        <v>46312</v>
      </c>
      <c r="Q19" s="6" t="n">
        <v>46308</v>
      </c>
      <c r="R19" s="6">
        <f>Q19+30</f>
        <v/>
      </c>
      <c r="S19" s="4" t="inlineStr"/>
    </row>
    <row r="20">
      <c r="A20" s="4" t="inlineStr">
        <is>
          <t>R16</t>
        </is>
      </c>
      <c r="B20" s="4" t="inlineStr">
        <is>
          <t>Breach notification deadline missed (no Privacy Officer)</t>
        </is>
      </c>
      <c r="C20" s="4" t="inlineStr">
        <is>
          <t>Regulatory compliance</t>
        </is>
      </c>
      <c r="D20" s="4" t="inlineStr">
        <is>
          <t>Process failure</t>
        </is>
      </c>
      <c r="E20" s="4" t="inlineStr">
        <is>
          <t>V16: Privacy Officer role vacant</t>
        </is>
      </c>
      <c r="F20" s="4" t="inlineStr">
        <is>
          <t>BS</t>
        </is>
      </c>
      <c r="G20" s="4" t="n">
        <v>2</v>
      </c>
      <c r="H20" s="4" t="n">
        <v>4</v>
      </c>
      <c r="I20" s="5">
        <f>G20*H20</f>
        <v/>
      </c>
      <c r="J20" s="4">
        <f>IF(I20&gt;=20,"Critical",IF(I20&gt;=12,"High",IF(I20&gt;=6,"Medium","Low")))</f>
        <v/>
      </c>
      <c r="K20" s="4" t="inlineStr">
        <is>
          <t>L2: needs a breach first. I4: missing the 60-day §164.404 deadline adds a separate violation.</t>
        </is>
      </c>
      <c r="L20" s="4" t="inlineStr">
        <is>
          <t>Denise Coleman</t>
        </is>
      </c>
      <c r="M20" s="4" t="inlineStr">
        <is>
          <t>Mitigate: designate a Privacy Officer and a breach-assessment procedure</t>
        </is>
      </c>
      <c r="N20" s="4" t="inlineStr">
        <is>
          <t>Open</t>
        </is>
      </c>
      <c r="O20" s="6" t="n">
        <v>46308</v>
      </c>
      <c r="P20" s="6" t="n">
        <v>46356</v>
      </c>
      <c r="Q20" s="6" t="n">
        <v>46308</v>
      </c>
      <c r="R20" s="6">
        <f>Q20+30</f>
        <v/>
      </c>
      <c r="S20" s="4" t="inlineStr"/>
    </row>
    <row r="22">
      <c r="B22" s="7" t="inlineStr">
        <is>
          <t>Summary</t>
        </is>
      </c>
    </row>
    <row r="23">
      <c r="B23" s="8" t="inlineStr">
        <is>
          <t>Critical</t>
        </is>
      </c>
      <c r="C23">
        <f>COUNTIF($J$5:$J$20,B23)</f>
        <v/>
      </c>
    </row>
    <row r="24">
      <c r="B24" s="9" t="inlineStr">
        <is>
          <t>High</t>
        </is>
      </c>
      <c r="C24">
        <f>COUNTIF($J$5:$J$20,B24)</f>
        <v/>
      </c>
    </row>
    <row r="25">
      <c r="B25" s="10" t="inlineStr">
        <is>
          <t>Medium</t>
        </is>
      </c>
      <c r="C25">
        <f>COUNTIF($J$5:$J$20,B25)</f>
        <v/>
      </c>
    </row>
    <row r="26">
      <c r="B26" s="11" t="inlineStr">
        <is>
          <t>Low</t>
        </is>
      </c>
      <c r="C26">
        <f>COUNTIF($J$5:$J$20,B26)</f>
        <v/>
      </c>
    </row>
    <row r="27">
      <c r="B27" s="12" t="inlineStr">
        <is>
          <t>Total</t>
        </is>
      </c>
      <c r="C27" s="12">
        <f>SUM(C23:C26)</f>
        <v/>
      </c>
    </row>
  </sheetData>
  <autoFilter ref="A4:S20"/>
  <conditionalFormatting sqref="J5:J20">
    <cfRule type="expression" priority="1" dxfId="0">
      <formula>J5="Critical"</formula>
    </cfRule>
    <cfRule type="expression" priority="2" dxfId="1">
      <formula>J5="High"</formula>
    </cfRule>
    <cfRule type="expression" priority="3" dxfId="2">
      <formula>J5="Medium"</formula>
    </cfRule>
    <cfRule type="expression" priority="4" dxfId="3">
      <formula>J5="Low"</formula>
    </cfRule>
  </conditionalFormatting>
  <dataValidations count="2">
    <dataValidation sqref="N5:N70" showDropDown="0" showInputMessage="0" showErrorMessage="0" allowBlank="0" type="list">
      <formula1>"Open,In Progress,Mitigated,Accepted,Transferred,Closed"</formula1>
    </dataValidation>
    <dataValidation sqref="G5:H70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6" customWidth="1" min="4" max="4"/>
    <col width="16" customWidth="1" min="5" max="5"/>
    <col width="12" customWidth="1" min="6" max="6"/>
    <col width="12" customWidth="1" min="7" max="7"/>
    <col width="20" customWidth="1" min="8" max="8"/>
    <col width="80" customWidth="1" min="9" max="9"/>
  </cols>
  <sheetData>
    <row r="1">
      <c r="A1" s="1" t="inlineStr">
        <is>
          <t>Risk Register — Change History (append-only)</t>
        </is>
      </c>
    </row>
    <row r="2">
      <c r="A2" s="2" t="inlineStr">
        <is>
          <t>Add a new row for every new risk, re-score, status change or review. Never edit or delete old rows.</t>
        </is>
      </c>
    </row>
    <row r="4">
      <c r="A4" s="3" t="inlineStr">
        <is>
          <t>Date</t>
        </is>
      </c>
      <c r="B4" s="3" t="inlineStr">
        <is>
          <t>Risk ID</t>
        </is>
      </c>
      <c r="C4" s="3" t="inlineStr">
        <is>
          <t>Event</t>
        </is>
      </c>
      <c r="D4" s="3" t="inlineStr">
        <is>
          <t>Old score</t>
        </is>
      </c>
      <c r="E4" s="3" t="inlineStr">
        <is>
          <t>New score</t>
        </is>
      </c>
      <c r="F4" s="3" t="inlineStr">
        <is>
          <t>Old status</t>
        </is>
      </c>
      <c r="G4" s="3" t="inlineStr">
        <is>
          <t>New status</t>
        </is>
      </c>
      <c r="H4" s="3" t="inlineStr">
        <is>
          <t>Changed by</t>
        </is>
      </c>
      <c r="I4" s="3" t="inlineStr">
        <is>
          <t>Reason / evidence</t>
        </is>
      </c>
    </row>
    <row r="5">
      <c r="A5" s="6" t="n">
        <v>46273</v>
      </c>
      <c r="B5" s="4" t="inlineStr">
        <is>
          <t>R09</t>
        </is>
      </c>
      <c r="C5" s="4" t="inlineStr">
        <is>
          <t>Opened</t>
        </is>
      </c>
      <c r="D5" s="4" t="inlineStr"/>
      <c r="E5" s="4" t="inlineStr">
        <is>
          <t>Critical (legacy)</t>
        </is>
      </c>
      <c r="F5" s="4" t="inlineStr"/>
      <c r="G5" s="4" t="inlineStr">
        <is>
          <t>Open</t>
        </is>
      </c>
      <c r="H5" s="4" t="inlineStr">
        <is>
          <t>Sabitha S Karanavar</t>
        </is>
      </c>
      <c r="I5" s="4" t="inlineStr">
        <is>
          <t>Identified in Apply Vulnerability Assessment Techniques scan; rated with Sept impact-floor method</t>
        </is>
      </c>
    </row>
    <row r="6">
      <c r="A6" s="6" t="n">
        <v>46273</v>
      </c>
      <c r="B6" s="4" t="inlineStr">
        <is>
          <t>R10</t>
        </is>
      </c>
      <c r="C6" s="4" t="inlineStr">
        <is>
          <t>Opened</t>
        </is>
      </c>
      <c r="D6" s="4" t="inlineStr"/>
      <c r="E6" s="4" t="inlineStr">
        <is>
          <t>Critical (legacy)</t>
        </is>
      </c>
      <c r="F6" s="4" t="inlineStr"/>
      <c r="G6" s="4" t="inlineStr">
        <is>
          <t>Open</t>
        </is>
      </c>
      <c r="H6" s="4" t="inlineStr">
        <is>
          <t>Sabitha S Karanavar</t>
        </is>
      </c>
      <c r="I6" s="4" t="inlineStr">
        <is>
          <t>Identified in Apply Vulnerability Assessment Techniques scan; rated with Sept impact-floor method</t>
        </is>
      </c>
    </row>
    <row r="7">
      <c r="A7" s="6" t="n">
        <v>46308</v>
      </c>
      <c r="B7" s="4" t="inlineStr">
        <is>
          <t>R01</t>
        </is>
      </c>
      <c r="C7" s="4" t="inlineStr">
        <is>
          <t>Opened</t>
        </is>
      </c>
      <c r="D7" s="4" t="inlineStr"/>
      <c r="E7" s="4" t="n">
        <v>20</v>
      </c>
      <c r="F7" s="4" t="inlineStr"/>
      <c r="G7" s="4" t="inlineStr">
        <is>
          <t>Open</t>
        </is>
      </c>
      <c r="H7" s="4" t="inlineStr">
        <is>
          <t>Sabitha S Karanavar</t>
        </is>
      </c>
      <c r="I7" s="4" t="inlineStr">
        <is>
          <t>HIPAA matrix gap G1 (audit controls)</t>
        </is>
      </c>
    </row>
    <row r="8">
      <c r="A8" s="6" t="n">
        <v>46308</v>
      </c>
      <c r="B8" s="4" t="inlineStr">
        <is>
          <t>R02</t>
        </is>
      </c>
      <c r="C8" s="4" t="inlineStr">
        <is>
          <t>Opened</t>
        </is>
      </c>
      <c r="D8" s="4" t="inlineStr"/>
      <c r="E8" s="4" t="n">
        <v>15</v>
      </c>
      <c r="F8" s="4" t="inlineStr"/>
      <c r="G8" s="4" t="inlineStr">
        <is>
          <t>Open</t>
        </is>
      </c>
      <c r="H8" s="4" t="inlineStr">
        <is>
          <t>Sabitha S Karanavar</t>
        </is>
      </c>
      <c r="I8" s="4" t="inlineStr">
        <is>
          <t>HIPAA matrix gap G2 (storage public access)</t>
        </is>
      </c>
    </row>
    <row r="9">
      <c r="A9" s="6" t="n">
        <v>46308</v>
      </c>
      <c r="B9" s="4" t="inlineStr">
        <is>
          <t>R03</t>
        </is>
      </c>
      <c r="C9" s="4" t="inlineStr">
        <is>
          <t>Opened</t>
        </is>
      </c>
      <c r="D9" s="4" t="inlineStr"/>
      <c r="E9" s="4" t="n">
        <v>15</v>
      </c>
      <c r="F9" s="4" t="inlineStr"/>
      <c r="G9" s="4" t="inlineStr">
        <is>
          <t>Open</t>
        </is>
      </c>
      <c r="H9" s="4" t="inlineStr">
        <is>
          <t>Sabitha S Karanavar</t>
        </is>
      </c>
      <c r="I9" s="4" t="inlineStr">
        <is>
          <t>HIPAA matrix gap G3 (Data NSG)</t>
        </is>
      </c>
    </row>
    <row r="10">
      <c r="A10" s="6" t="n">
        <v>46308</v>
      </c>
      <c r="B10" s="4" t="inlineStr">
        <is>
          <t>R04</t>
        </is>
      </c>
      <c r="C10" s="4" t="inlineStr">
        <is>
          <t>Opened</t>
        </is>
      </c>
      <c r="D10" s="4" t="inlineStr"/>
      <c r="E10" s="4" t="n">
        <v>12</v>
      </c>
      <c r="F10" s="4" t="inlineStr"/>
      <c r="G10" s="4" t="inlineStr">
        <is>
          <t>Open</t>
        </is>
      </c>
      <c r="H10" s="4" t="inlineStr">
        <is>
          <t>Sabitha S Karanavar</t>
        </is>
      </c>
      <c r="I10" s="4" t="inlineStr">
        <is>
          <t>HIPAA matrix gap G4 (single Global Admin)</t>
        </is>
      </c>
    </row>
    <row r="11">
      <c r="A11" s="6" t="n">
        <v>46308</v>
      </c>
      <c r="B11" s="4" t="inlineStr">
        <is>
          <t>R05</t>
        </is>
      </c>
      <c r="C11" s="4" t="inlineStr">
        <is>
          <t>Opened</t>
        </is>
      </c>
      <c r="D11" s="4" t="inlineStr"/>
      <c r="E11" s="4" t="n">
        <v>8</v>
      </c>
      <c r="F11" s="4" t="inlineStr"/>
      <c r="G11" s="4" t="inlineStr">
        <is>
          <t>Open</t>
        </is>
      </c>
      <c r="H11" s="4" t="inlineStr">
        <is>
          <t>Sabitha S Karanavar</t>
        </is>
      </c>
      <c r="I11" s="4" t="inlineStr">
        <is>
          <t>HIPAA matrix gap G8 (versioning off, DR untested)</t>
        </is>
      </c>
    </row>
    <row r="12">
      <c r="A12" s="6" t="n">
        <v>46308</v>
      </c>
      <c r="B12" s="4" t="inlineStr">
        <is>
          <t>R06</t>
        </is>
      </c>
      <c r="C12" s="4" t="inlineStr">
        <is>
          <t>Opened</t>
        </is>
      </c>
      <c r="D12" s="4" t="inlineStr"/>
      <c r="E12" s="4" t="n">
        <v>8</v>
      </c>
      <c r="F12" s="4" t="inlineStr"/>
      <c r="G12" s="4" t="inlineStr">
        <is>
          <t>Open</t>
        </is>
      </c>
      <c r="H12" s="4" t="inlineStr">
        <is>
          <t>Sabitha S Karanavar</t>
        </is>
      </c>
      <c r="I12" s="4" t="inlineStr">
        <is>
          <t>HIPAA matrix gap G6 (contractor)</t>
        </is>
      </c>
    </row>
    <row r="13">
      <c r="A13" s="6" t="n">
        <v>46308</v>
      </c>
      <c r="B13" s="4" t="inlineStr">
        <is>
          <t>R07</t>
        </is>
      </c>
      <c r="C13" s="4" t="inlineStr">
        <is>
          <t>Opened</t>
        </is>
      </c>
      <c r="D13" s="4" t="inlineStr"/>
      <c r="E13" s="4" t="n">
        <v>6</v>
      </c>
      <c r="F13" s="4" t="inlineStr"/>
      <c r="G13" s="4" t="inlineStr">
        <is>
          <t>Open</t>
        </is>
      </c>
      <c r="H13" s="4" t="inlineStr">
        <is>
          <t>Sabitha S Karanavar</t>
        </is>
      </c>
      <c r="I13" s="4" t="inlineStr">
        <is>
          <t>HIPAA matrix gap G7 (test account)</t>
        </is>
      </c>
    </row>
    <row r="14">
      <c r="A14" s="6" t="n">
        <v>46308</v>
      </c>
      <c r="B14" s="4" t="inlineStr">
        <is>
          <t>R14</t>
        </is>
      </c>
      <c r="C14" s="4" t="inlineStr">
        <is>
          <t>Opened</t>
        </is>
      </c>
      <c r="D14" s="4" t="inlineStr"/>
      <c r="E14" s="4" t="n">
        <v>8</v>
      </c>
      <c r="F14" s="4" t="inlineStr"/>
      <c r="G14" s="4" t="inlineStr">
        <is>
          <t>Open</t>
        </is>
      </c>
      <c r="H14" s="4" t="inlineStr">
        <is>
          <t>Sabitha S Karanavar</t>
        </is>
      </c>
      <c r="I14" s="4" t="inlineStr">
        <is>
          <t>HIPAA matrix gap G5 (sanction policy)</t>
        </is>
      </c>
    </row>
    <row r="15">
      <c r="A15" s="6" t="n">
        <v>46308</v>
      </c>
      <c r="B15" s="4" t="inlineStr">
        <is>
          <t>R09</t>
        </is>
      </c>
      <c r="C15" s="4" t="inlineStr">
        <is>
          <t>Re-scored</t>
        </is>
      </c>
      <c r="D15" s="4" t="inlineStr">
        <is>
          <t>Critical (legacy)</t>
        </is>
      </c>
      <c r="E15" s="4" t="n">
        <v>15</v>
      </c>
      <c r="F15" s="4" t="inlineStr">
        <is>
          <t>Open</t>
        </is>
      </c>
      <c r="G15" s="4" t="inlineStr">
        <is>
          <t>Open</t>
        </is>
      </c>
      <c r="H15" s="4" t="inlineStr">
        <is>
          <t>Anthony Ruiz</t>
        </is>
      </c>
      <c r="I15" s="4" t="inlineStr">
        <is>
          <t>Converted to HVMC 5×5 scale (L3×I5). Likelihood Medium → 3.</t>
        </is>
      </c>
    </row>
    <row r="16">
      <c r="A16" s="6" t="n">
        <v>46308</v>
      </c>
      <c r="B16" s="4" t="inlineStr">
        <is>
          <t>R10</t>
        </is>
      </c>
      <c r="C16" s="4" t="inlineStr">
        <is>
          <t>Re-scored</t>
        </is>
      </c>
      <c r="D16" s="4" t="inlineStr">
        <is>
          <t>Critical (legacy)</t>
        </is>
      </c>
      <c r="E16" s="4" t="n">
        <v>20</v>
      </c>
      <c r="F16" s="4" t="inlineStr">
        <is>
          <t>Open</t>
        </is>
      </c>
      <c r="G16" s="4" t="inlineStr">
        <is>
          <t>Open</t>
        </is>
      </c>
      <c r="H16" s="4" t="inlineStr">
        <is>
          <t>Anthony Ruiz</t>
        </is>
      </c>
      <c r="I16" s="4" t="inlineStr">
        <is>
          <t>Converted to HVMC 5×5 scale (L4×I5). Public exploit code raises likelihood to 4.</t>
        </is>
      </c>
    </row>
    <row r="17">
      <c r="A17" s="6" t="n">
        <v>46308</v>
      </c>
      <c r="B17" s="4" t="inlineStr">
        <is>
          <t>R05</t>
        </is>
      </c>
      <c r="C17" s="4" t="inlineStr">
        <is>
          <t>Re-scored</t>
        </is>
      </c>
      <c r="D17" s="4" t="n">
        <v>8</v>
      </c>
      <c r="E17" s="4" t="n">
        <v>15</v>
      </c>
      <c r="F17" s="4" t="inlineStr">
        <is>
          <t>Open</t>
        </is>
      </c>
      <c r="G17" s="4" t="inlineStr">
        <is>
          <t>Open</t>
        </is>
      </c>
      <c r="H17" s="4" t="inlineStr">
        <is>
          <t>Anthony Ruiz</t>
        </is>
      </c>
      <c r="I17" s="4" t="inlineStr">
        <is>
          <t>Threat assessment: ransomware is the leading healthcare threat (L2→3) and EHR loss is patient-safety impact (I4→5).</t>
        </is>
      </c>
    </row>
    <row r="18">
      <c r="A18" s="6" t="n">
        <v>46308</v>
      </c>
      <c r="B18" s="4" t="inlineStr">
        <is>
          <t>R08</t>
        </is>
      </c>
      <c r="C18" s="4" t="inlineStr">
        <is>
          <t>Opened</t>
        </is>
      </c>
      <c r="D18" s="4" t="inlineStr"/>
      <c r="E18" s="4" t="n">
        <v>12</v>
      </c>
      <c r="F18" s="4" t="inlineStr"/>
      <c r="G18" s="4" t="inlineStr">
        <is>
          <t>Open</t>
        </is>
      </c>
      <c r="H18" s="4" t="inlineStr">
        <is>
          <t>Anthony Ruiz</t>
        </is>
      </c>
      <c r="I18" s="4" t="inlineStr">
        <is>
          <t>CIS checklist: open app registration and guest invites</t>
        </is>
      </c>
    </row>
    <row r="19">
      <c r="A19" s="6" t="n">
        <v>46308</v>
      </c>
      <c r="B19" s="4" t="inlineStr">
        <is>
          <t>R11</t>
        </is>
      </c>
      <c r="C19" s="4" t="inlineStr">
        <is>
          <t>Opened</t>
        </is>
      </c>
      <c r="D19" s="4" t="inlineStr"/>
      <c r="E19" s="4" t="n">
        <v>12</v>
      </c>
      <c r="F19" s="4" t="inlineStr"/>
      <c r="G19" s="4" t="inlineStr">
        <is>
          <t>Open</t>
        </is>
      </c>
      <c r="H19" s="4" t="inlineStr">
        <is>
          <t>Anthony Ruiz</t>
        </is>
      </c>
      <c r="I19" s="4" t="inlineStr">
        <is>
          <t>CIS checklist: Defender plans Free, no security contact</t>
        </is>
      </c>
    </row>
    <row r="20">
      <c r="A20" s="6" t="n">
        <v>46308</v>
      </c>
      <c r="B20" s="4" t="inlineStr">
        <is>
          <t>R12</t>
        </is>
      </c>
      <c r="C20" s="4" t="inlineStr">
        <is>
          <t>Opened</t>
        </is>
      </c>
      <c r="D20" s="4" t="inlineStr"/>
      <c r="E20" s="4" t="n">
        <v>12</v>
      </c>
      <c r="F20" s="4" t="inlineStr"/>
      <c r="G20" s="4" t="inlineStr">
        <is>
          <t>Open</t>
        </is>
      </c>
      <c r="H20" s="4" t="inlineStr">
        <is>
          <t>Anthony Ruiz</t>
        </is>
      </c>
      <c r="I20" s="4" t="inlineStr">
        <is>
          <t>Brainstorming + SWOT: AiTM phishing of clinicians</t>
        </is>
      </c>
    </row>
    <row r="21">
      <c r="A21" s="6" t="n">
        <v>46308</v>
      </c>
      <c r="B21" s="4" t="inlineStr">
        <is>
          <t>R13</t>
        </is>
      </c>
      <c r="C21" s="4" t="inlineStr">
        <is>
          <t>Opened</t>
        </is>
      </c>
      <c r="D21" s="4" t="inlineStr"/>
      <c r="E21" s="4" t="n">
        <v>12</v>
      </c>
      <c r="F21" s="4" t="inlineStr"/>
      <c r="G21" s="4" t="inlineStr">
        <is>
          <t>Open</t>
        </is>
      </c>
      <c r="H21" s="4" t="inlineStr">
        <is>
          <t>Anthony Ruiz</t>
        </is>
      </c>
      <c r="I21" s="4" t="inlineStr">
        <is>
          <t>Brainstorming: insider snooping on patient records</t>
        </is>
      </c>
    </row>
    <row r="22">
      <c r="A22" s="6" t="n">
        <v>46308</v>
      </c>
      <c r="B22" s="4" t="inlineStr">
        <is>
          <t>R15</t>
        </is>
      </c>
      <c r="C22" s="4" t="inlineStr">
        <is>
          <t>Opened</t>
        </is>
      </c>
      <c r="D22" s="4" t="inlineStr"/>
      <c r="E22" s="4" t="n">
        <v>8</v>
      </c>
      <c r="F22" s="4" t="inlineStr"/>
      <c r="G22" s="4" t="inlineStr">
        <is>
          <t>Open</t>
        </is>
      </c>
      <c r="H22" s="4" t="inlineStr">
        <is>
          <t>Anthony Ruiz</t>
        </is>
      </c>
      <c r="I22" s="4" t="inlineStr">
        <is>
          <t>CIS checklist: no resource locks</t>
        </is>
      </c>
    </row>
    <row r="23">
      <c r="A23" s="6" t="n">
        <v>46308</v>
      </c>
      <c r="B23" s="4" t="inlineStr">
        <is>
          <t>R16</t>
        </is>
      </c>
      <c r="C23" s="4" t="inlineStr">
        <is>
          <t>Opened</t>
        </is>
      </c>
      <c r="D23" s="4" t="inlineStr"/>
      <c r="E23" s="4" t="n">
        <v>8</v>
      </c>
      <c r="F23" s="4" t="inlineStr"/>
      <c r="G23" s="4" t="inlineStr">
        <is>
          <t>Open</t>
        </is>
      </c>
      <c r="H23" s="4" t="inlineStr">
        <is>
          <t>Anthony Ruiz</t>
        </is>
      </c>
      <c r="I23" s="4" t="inlineStr">
        <is>
          <t>Brainstorming + SWOT: Privacy Officer vacancy</t>
        </is>
      </c>
    </row>
  </sheetData>
  <autoFilter ref="A4:I23"/>
  <dataValidations count="1">
    <dataValidation sqref="C5:C224" showDropDown="0" showInputMessage="0" showErrorMessage="0" allowBlank="0" type="list">
      <formula1>"Opened,Re-scored,Status change,Reviewed,Treatment updated,Closed"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zoomScale="11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5×5 Risk Heat Map</t>
        </is>
      </c>
    </row>
    <row r="2">
      <c r="A2" s="2" t="inlineStr">
        <is>
          <t>Each cell counts risks on the Register with that Likelihood and Impact (COUNTIFS) — updates automatically</t>
        </is>
      </c>
    </row>
    <row r="4">
      <c r="A4" s="12" t="inlineStr">
        <is>
          <t>Likelihood ↓ / Impact →</t>
        </is>
      </c>
      <c r="B4" s="13" t="inlineStr">
        <is>
          <t>1 – Negligible</t>
        </is>
      </c>
      <c r="C4" s="13" t="inlineStr">
        <is>
          <t>2 – Minor</t>
        </is>
      </c>
      <c r="D4" s="13" t="inlineStr">
        <is>
          <t>3 – Moderate</t>
        </is>
      </c>
      <c r="E4" s="13" t="inlineStr">
        <is>
          <t>4 – Major</t>
        </is>
      </c>
      <c r="F4" s="13" t="inlineStr">
        <is>
          <t>5 – Severe</t>
        </is>
      </c>
    </row>
    <row r="5" ht="42" customHeight="1">
      <c r="A5" s="14" t="inlineStr">
        <is>
          <t>5 – Almost certain</t>
        </is>
      </c>
      <c r="B5" s="15">
        <f>COUNTIFS(Register!$G$5:$G$200,5,Register!$H$5:$H$200,1)</f>
        <v/>
      </c>
      <c r="C5" s="16">
        <f>COUNTIFS(Register!$G$5:$G$200,5,Register!$H$5:$H$200,2)</f>
        <v/>
      </c>
      <c r="D5" s="17">
        <f>COUNTIFS(Register!$G$5:$G$200,5,Register!$H$5:$H$200,3)</f>
        <v/>
      </c>
      <c r="E5" s="18">
        <f>COUNTIFS(Register!$G$5:$G$200,5,Register!$H$5:$H$200,4)</f>
        <v/>
      </c>
      <c r="F5" s="18">
        <f>COUNTIFS(Register!$G$5:$G$200,5,Register!$H$5:$H$200,5)</f>
        <v/>
      </c>
    </row>
    <row r="6" ht="42" customHeight="1">
      <c r="A6" s="14" t="inlineStr">
        <is>
          <t>4 – Likely</t>
        </is>
      </c>
      <c r="B6" s="15">
        <f>COUNTIFS(Register!$G$5:$G$200,4,Register!$H$5:$H$200,1)</f>
        <v/>
      </c>
      <c r="C6" s="16">
        <f>COUNTIFS(Register!$G$5:$G$200,4,Register!$H$5:$H$200,2)</f>
        <v/>
      </c>
      <c r="D6" s="17">
        <f>COUNTIFS(Register!$G$5:$G$200,4,Register!$H$5:$H$200,3)</f>
        <v/>
      </c>
      <c r="E6" s="17">
        <f>COUNTIFS(Register!$G$5:$G$200,4,Register!$H$5:$H$200,4)</f>
        <v/>
      </c>
      <c r="F6" s="18">
        <f>COUNTIFS(Register!$G$5:$G$200,4,Register!$H$5:$H$200,5)</f>
        <v/>
      </c>
    </row>
    <row r="7" ht="42" customHeight="1">
      <c r="A7" s="14" t="inlineStr">
        <is>
          <t>3 – Possible</t>
        </is>
      </c>
      <c r="B7" s="15">
        <f>COUNTIFS(Register!$G$5:$G$200,3,Register!$H$5:$H$200,1)</f>
        <v/>
      </c>
      <c r="C7" s="16">
        <f>COUNTIFS(Register!$G$5:$G$200,3,Register!$H$5:$H$200,2)</f>
        <v/>
      </c>
      <c r="D7" s="16">
        <f>COUNTIFS(Register!$G$5:$G$200,3,Register!$H$5:$H$200,3)</f>
        <v/>
      </c>
      <c r="E7" s="17">
        <f>COUNTIFS(Register!$G$5:$G$200,3,Register!$H$5:$H$200,4)</f>
        <v/>
      </c>
      <c r="F7" s="17">
        <f>COUNTIFS(Register!$G$5:$G$200,3,Register!$H$5:$H$200,5)</f>
        <v/>
      </c>
    </row>
    <row r="8" ht="42" customHeight="1">
      <c r="A8" s="14" t="inlineStr">
        <is>
          <t>2 – Unlikely</t>
        </is>
      </c>
      <c r="B8" s="15">
        <f>COUNTIFS(Register!$G$5:$G$200,2,Register!$H$5:$H$200,1)</f>
        <v/>
      </c>
      <c r="C8" s="15">
        <f>COUNTIFS(Register!$G$5:$G$200,2,Register!$H$5:$H$200,2)</f>
        <v/>
      </c>
      <c r="D8" s="16">
        <f>COUNTIFS(Register!$G$5:$G$200,2,Register!$H$5:$H$200,3)</f>
        <v/>
      </c>
      <c r="E8" s="16">
        <f>COUNTIFS(Register!$G$5:$G$200,2,Register!$H$5:$H$200,4)</f>
        <v/>
      </c>
      <c r="F8" s="16">
        <f>COUNTIFS(Register!$G$5:$G$200,2,Register!$H$5:$H$200,5)</f>
        <v/>
      </c>
    </row>
    <row r="9" ht="42" customHeight="1">
      <c r="A9" s="14" t="inlineStr">
        <is>
          <t>1 – Rare</t>
        </is>
      </c>
      <c r="B9" s="15">
        <f>COUNTIFS(Register!$G$5:$G$200,1,Register!$H$5:$H$200,1)</f>
        <v/>
      </c>
      <c r="C9" s="15">
        <f>COUNTIFS(Register!$G$5:$G$200,1,Register!$H$5:$H$200,2)</f>
        <v/>
      </c>
      <c r="D9" s="15">
        <f>COUNTIFS(Register!$G$5:$G$200,1,Register!$H$5:$H$200,3)</f>
        <v/>
      </c>
      <c r="E9" s="15">
        <f>COUNTIFS(Register!$G$5:$G$200,1,Register!$H$5:$H$200,4)</f>
        <v/>
      </c>
      <c r="F9" s="15">
        <f>COUNTIFS(Register!$G$5:$G$200,1,Register!$H$5:$H$200,5)</f>
        <v/>
      </c>
    </row>
    <row r="11">
      <c r="A11" s="19" t="inlineStr">
        <is>
          <t>Bands: Critical 20–25 · High 12–19 · Medium 6–11 · Low 1–5 (score = Likelihood × Impact)</t>
        </is>
      </c>
    </row>
    <row r="13">
      <c r="A13" s="7" t="inlineStr">
        <is>
          <t>Risks by cell (as of report date)</t>
        </is>
      </c>
    </row>
    <row r="14">
      <c r="A14" t="inlineStr">
        <is>
          <t>L4 × I5 = 20</t>
        </is>
      </c>
      <c r="B14" t="inlineStr">
        <is>
          <t>R01, R10</t>
        </is>
      </c>
    </row>
    <row r="15">
      <c r="A15" t="inlineStr">
        <is>
          <t>L3 × I5 = 15</t>
        </is>
      </c>
      <c r="B15" t="inlineStr">
        <is>
          <t>R02, R03, R05, R09</t>
        </is>
      </c>
    </row>
    <row r="16">
      <c r="A16" t="inlineStr">
        <is>
          <t>L3 × I4 = 12</t>
        </is>
      </c>
      <c r="B16" t="inlineStr">
        <is>
          <t>R04, R08, R11, R12, R13</t>
        </is>
      </c>
    </row>
    <row r="17">
      <c r="A17" t="inlineStr">
        <is>
          <t>L2 × I4 = 8</t>
        </is>
      </c>
      <c r="B17" t="inlineStr">
        <is>
          <t>R06, R14, R15, R16</t>
        </is>
      </c>
    </row>
    <row r="18">
      <c r="A18" t="inlineStr">
        <is>
          <t>L2 × I3 = 6</t>
        </is>
      </c>
      <c r="B18" t="inlineStr">
        <is>
          <t>R07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zoomScale="110" workbookViewId="0">
      <selection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7" customWidth="1" min="4" max="4"/>
    <col width="14" customWidth="1" min="5" max="5"/>
    <col width="7" customWidth="1" min="6" max="6"/>
    <col width="14" customWidth="1" min="7" max="7"/>
    <col width="9" customWidth="1" min="8" max="8"/>
    <col width="9" customWidth="1" min="9" max="9"/>
    <col width="14" customWidth="1" min="10" max="10"/>
    <col width="14" customWidth="1" min="11" max="11"/>
    <col width="40" customWidth="1" min="12" max="12"/>
    <col width="14" customWidth="1" min="13" max="13"/>
    <col width="40" customWidth="1" min="14" max="14"/>
    <col width="16" customWidth="1" min="15" max="15"/>
  </cols>
  <sheetData>
    <row r="1">
      <c r="A1" s="1" t="inlineStr">
        <is>
          <t>Quantitative Analysis — ALE, ROSI and EMV</t>
        </is>
      </c>
    </row>
    <row r="2">
      <c r="A2" s="2" t="inlineStr">
        <is>
          <t>Yellow cells are inputs; everything else is calculated. AV = IBM 2025 healthcare breach avg + HIPAA 2025 annual penalty cap.</t>
        </is>
      </c>
    </row>
    <row r="4">
      <c r="A4" s="12" t="inlineStr">
        <is>
          <t>IBM 2025 healthcare avg breach cost</t>
        </is>
      </c>
      <c r="B4" s="20" t="n">
        <v>7420000</v>
      </c>
    </row>
    <row r="5">
      <c r="A5" s="12" t="inlineStr">
        <is>
          <t>HIPAA annual cap per provision (2025 adj.)</t>
        </is>
      </c>
      <c r="B5" s="20" t="n">
        <v>2190294</v>
      </c>
    </row>
    <row r="6">
      <c r="A6" s="12" t="inlineStr">
        <is>
          <t>Asset Value (AV) — EHR data</t>
        </is>
      </c>
      <c r="B6" s="21">
        <f>B4+B5</f>
        <v/>
      </c>
    </row>
    <row r="7">
      <c r="A7" s="12" t="inlineStr">
        <is>
          <t>Labor rate ($/hour)</t>
        </is>
      </c>
      <c r="B7" s="20" t="n">
        <v>75</v>
      </c>
    </row>
    <row r="9">
      <c r="A9" s="3" t="inlineStr">
        <is>
          <t>Risk</t>
        </is>
      </c>
      <c r="B9" s="3" t="inlineStr">
        <is>
          <t>Scenario</t>
        </is>
      </c>
      <c r="C9" s="3" t="inlineStr">
        <is>
          <t>AV</t>
        </is>
      </c>
      <c r="D9" s="3" t="inlineStr">
        <is>
          <t>EF</t>
        </is>
      </c>
      <c r="E9" s="3" t="inlineStr">
        <is>
          <t>SLE = AV×EF</t>
        </is>
      </c>
      <c r="F9" s="3" t="inlineStr">
        <is>
          <t>ARO</t>
        </is>
      </c>
      <c r="G9" s="3" t="inlineStr">
        <is>
          <t>ALE = SLE×ARO</t>
        </is>
      </c>
      <c r="H9" s="3" t="inlineStr">
        <is>
          <t>EF after</t>
        </is>
      </c>
      <c r="I9" s="3" t="inlineStr">
        <is>
          <t>ARO after</t>
        </is>
      </c>
      <c r="J9" s="3" t="inlineStr">
        <is>
          <t>SLE after</t>
        </is>
      </c>
      <c r="K9" s="3" t="inlineStr">
        <is>
          <t>ALE after</t>
        </is>
      </c>
      <c r="L9" s="3" t="inlineStr">
        <is>
          <t>Control</t>
        </is>
      </c>
      <c r="M9" s="3" t="inlineStr">
        <is>
          <t>Annual control cost</t>
        </is>
      </c>
      <c r="N9" s="3" t="inlineStr">
        <is>
          <t>Cost basis</t>
        </is>
      </c>
      <c r="O9" s="3" t="inlineStr">
        <is>
          <t>ROSI = (ALE−ALE after−cost)/cost</t>
        </is>
      </c>
    </row>
    <row r="10">
      <c r="A10" s="4" t="inlineStr">
        <is>
          <t>R01</t>
        </is>
      </c>
      <c r="B10" s="4" t="inlineStr">
        <is>
          <t>Undetected incident (279-day dwell)</t>
        </is>
      </c>
      <c r="C10" s="22">
        <f>$B$6</f>
        <v/>
      </c>
      <c r="D10" s="23" t="n">
        <v>0.15</v>
      </c>
      <c r="E10" s="22">
        <f>C10*D10</f>
        <v/>
      </c>
      <c r="F10" s="23" t="n">
        <v>0.6</v>
      </c>
      <c r="G10" s="22">
        <f>E10*F10</f>
        <v/>
      </c>
      <c r="H10" s="23" t="n">
        <v>0.06</v>
      </c>
      <c r="I10" s="23" t="n">
        <v>0.6</v>
      </c>
      <c r="J10" s="22">
        <f>C10*H10</f>
        <v/>
      </c>
      <c r="K10" s="22">
        <f>J10*I10</f>
        <v/>
      </c>
      <c r="L10" s="4" t="inlineStr">
        <is>
          <t>Log Analytics + diagnostic settings + alert rules</t>
        </is>
      </c>
      <c r="M10" s="24" t="n">
        <v>2131</v>
      </c>
      <c r="N10" s="4" t="inlineStr">
        <is>
          <t>~10 GB/month ingestion ≈ $331/yr + 24 h setup × $75</t>
        </is>
      </c>
      <c r="O10" s="25">
        <f>(G10-K10-M10)/M10</f>
        <v/>
      </c>
    </row>
    <row r="11">
      <c r="A11" s="4" t="inlineStr">
        <is>
          <t>R02</t>
        </is>
      </c>
      <c r="B11" s="4" t="inlineStr">
        <is>
          <t>EHR storage exfiltration</t>
        </is>
      </c>
      <c r="C11" s="22">
        <f>$B$6</f>
        <v/>
      </c>
      <c r="D11" s="23" t="n">
        <v>0.25</v>
      </c>
      <c r="E11" s="22">
        <f>C11*D11</f>
        <v/>
      </c>
      <c r="F11" s="23" t="n">
        <v>0.25</v>
      </c>
      <c r="G11" s="22">
        <f>E11*F11</f>
        <v/>
      </c>
      <c r="H11" s="23" t="n">
        <v>0.25</v>
      </c>
      <c r="I11" s="23" t="n">
        <v>0.05</v>
      </c>
      <c r="J11" s="22">
        <f>C11*H11</f>
        <v/>
      </c>
      <c r="K11" s="22">
        <f>J11*I11</f>
        <v/>
      </c>
      <c r="L11" s="4" t="inlineStr">
        <is>
          <t>Deny public access, disable shared key, private endpoint</t>
        </is>
      </c>
      <c r="M11" s="24" t="n">
        <v>1300</v>
      </c>
      <c r="N11" s="4" t="inlineStr">
        <is>
          <t>Private endpoint ≈ $90/yr + 16 h × $75</t>
        </is>
      </c>
      <c r="O11" s="25">
        <f>(G11-K11-M11)/M11</f>
        <v/>
      </c>
    </row>
    <row r="12">
      <c r="A12" s="4" t="inlineStr">
        <is>
          <t>R05</t>
        </is>
      </c>
      <c r="B12" s="4" t="inlineStr">
        <is>
          <t>Ransomware / deletion of EHR data</t>
        </is>
      </c>
      <c r="C12" s="22">
        <f>$B$6</f>
        <v/>
      </c>
      <c r="D12" s="23" t="n">
        <v>0.55</v>
      </c>
      <c r="E12" s="22">
        <f>C12*D12</f>
        <v/>
      </c>
      <c r="F12" s="23" t="n">
        <v>0.2</v>
      </c>
      <c r="G12" s="22">
        <f>E12*F12</f>
        <v/>
      </c>
      <c r="H12" s="23" t="n">
        <v>0.15</v>
      </c>
      <c r="I12" s="23" t="n">
        <v>0.2</v>
      </c>
      <c r="J12" s="22">
        <f>C12*H12</f>
        <v/>
      </c>
      <c r="K12" s="22">
        <f>J12*I12</f>
        <v/>
      </c>
      <c r="L12" s="4" t="inlineStr">
        <is>
          <t>Versioning, 30-day soft delete, locks, restore test</t>
        </is>
      </c>
      <c r="M12" s="24" t="n">
        <v>2400</v>
      </c>
      <c r="N12" s="4" t="inlineStr">
        <is>
          <t>Version storage ≈ $600/yr + 24 h restore test × $75</t>
        </is>
      </c>
      <c r="O12" s="25">
        <f>(G12-K12-M12)/M12</f>
        <v/>
      </c>
    </row>
    <row r="13">
      <c r="A13" s="4" t="inlineStr">
        <is>
          <t>R12</t>
        </is>
      </c>
      <c r="B13" s="4" t="inlineStr">
        <is>
          <t>AiTM phishing of a clinician</t>
        </is>
      </c>
      <c r="C13" s="22">
        <f>$B$6</f>
        <v/>
      </c>
      <c r="D13" s="23" t="n">
        <v>0.05</v>
      </c>
      <c r="E13" s="22">
        <f>C13*D13</f>
        <v/>
      </c>
      <c r="F13" s="23" t="n">
        <v>0.35</v>
      </c>
      <c r="G13" s="22">
        <f>E13*F13</f>
        <v/>
      </c>
      <c r="H13" s="23" t="n">
        <v>0.05</v>
      </c>
      <c r="I13" s="23" t="n">
        <v>0.08</v>
      </c>
      <c r="J13" s="22">
        <f>C13*H13</f>
        <v/>
      </c>
      <c r="K13" s="22">
        <f>J13*I13</f>
        <v/>
      </c>
      <c r="L13" s="4" t="inlineStr">
        <is>
          <t>Entra ID P1 Conditional Access for 31 users</t>
        </is>
      </c>
      <c r="M13" s="24" t="n">
        <v>2232</v>
      </c>
      <c r="N13" s="4" t="inlineStr">
        <is>
          <t>31 users × $6/month × 12</t>
        </is>
      </c>
      <c r="O13" s="25">
        <f>(G13-K13-M13)/M13</f>
        <v/>
      </c>
    </row>
    <row r="14">
      <c r="A14" s="4" t="inlineStr">
        <is>
          <t>R13</t>
        </is>
      </c>
      <c r="B14" s="4" t="inlineStr">
        <is>
          <t>Insider snooping incident</t>
        </is>
      </c>
      <c r="C14" s="22">
        <f>$B$6</f>
        <v/>
      </c>
      <c r="D14" s="23" t="n">
        <v>0.026</v>
      </c>
      <c r="E14" s="22">
        <f>C14*D14</f>
        <v/>
      </c>
      <c r="F14" s="23" t="n">
        <v>0.3</v>
      </c>
      <c r="G14" s="22">
        <f>E14*F14</f>
        <v/>
      </c>
      <c r="H14" s="23" t="n">
        <v>0.026</v>
      </c>
      <c r="I14" s="23" t="n">
        <v>0.1</v>
      </c>
      <c r="J14" s="22">
        <f>C14*H14</f>
        <v/>
      </c>
      <c r="K14" s="22">
        <f>J14*I14</f>
        <v/>
      </c>
      <c r="L14" s="4" t="inlineStr">
        <is>
          <t>EHR access auditing + monthly owner review</t>
        </is>
      </c>
      <c r="M14" s="24" t="n">
        <v>3600</v>
      </c>
      <c r="N14" s="4" t="inlineStr">
        <is>
          <t>4 h/month × $75 × 12</t>
        </is>
      </c>
      <c r="O14" s="25">
        <f>(G14-K14-M14)/M14</f>
        <v/>
      </c>
    </row>
    <row r="15">
      <c r="A15" s="12" t="inlineStr">
        <is>
          <t>Total</t>
        </is>
      </c>
      <c r="G15" s="21">
        <f>SUM(G10:G14)</f>
        <v/>
      </c>
      <c r="K15" s="21">
        <f>SUM(K10:K14)</f>
        <v/>
      </c>
      <c r="M15" s="21">
        <f>SUM(M10:M14)</f>
        <v/>
      </c>
    </row>
    <row r="18">
      <c r="A18" s="26" t="inlineStr">
        <is>
          <t>EMV decision tree — R05 ransomware</t>
        </is>
      </c>
    </row>
    <row r="19">
      <c r="A19" t="inlineStr">
        <is>
          <t>P(attack in year)</t>
        </is>
      </c>
      <c r="B19" s="27" t="n">
        <v>0.2</v>
      </c>
    </row>
    <row r="21">
      <c r="A21" s="28" t="inlineStr">
        <is>
          <t>Option / outcome</t>
        </is>
      </c>
      <c r="B21" s="28" t="inlineStr">
        <is>
          <t>Probability (given attack)</t>
        </is>
      </c>
      <c r="C21" s="29" t="inlineStr">
        <is>
          <t>Loss</t>
        </is>
      </c>
      <c r="D21" s="29" t="inlineStr">
        <is>
          <t>Weighted</t>
        </is>
      </c>
    </row>
    <row r="22">
      <c r="A22" s="12" t="inlineStr">
        <is>
          <t>A — Accept (no new controls)</t>
        </is>
      </c>
      <c r="C22" s="30" t="n"/>
      <c r="D22" s="30" t="n"/>
    </row>
    <row r="23">
      <c r="A23" t="inlineStr">
        <is>
          <t xml:space="preserve">   Restore fails / pay or rebuild</t>
        </is>
      </c>
      <c r="B23" s="27" t="n">
        <v>0.7</v>
      </c>
      <c r="C23" s="20" t="n">
        <v>5285661.7</v>
      </c>
      <c r="D23" s="30">
        <f>B23*C23</f>
        <v/>
      </c>
    </row>
    <row r="24">
      <c r="A24" t="inlineStr">
        <is>
          <t xml:space="preserve">   Partial restore from soft delete</t>
        </is>
      </c>
      <c r="B24" s="27" t="n">
        <v>0.3</v>
      </c>
      <c r="C24" s="20" t="n">
        <v>1500000</v>
      </c>
      <c r="D24" s="30">
        <f>B24*C24</f>
        <v/>
      </c>
    </row>
    <row r="25">
      <c r="A25" s="12" t="inlineStr">
        <is>
          <t>EMV A = P(attack) × Σ weighted</t>
        </is>
      </c>
      <c r="C25" s="30" t="n"/>
      <c r="D25" s="21">
        <f>$B$19*SUM(D23:D24)</f>
        <v/>
      </c>
    </row>
    <row r="26">
      <c r="C26" s="30" t="n"/>
      <c r="D26" s="30" t="n"/>
    </row>
    <row r="27">
      <c r="A27" s="12" t="inlineStr">
        <is>
          <t>B — Invest in G8 recovery controls</t>
        </is>
      </c>
      <c r="B27" t="inlineStr">
        <is>
          <t>Control cost</t>
        </is>
      </c>
      <c r="C27" s="20" t="n">
        <v>2400</v>
      </c>
      <c r="D27" s="30" t="n"/>
    </row>
    <row r="28">
      <c r="A28" t="inlineStr">
        <is>
          <t xml:space="preserve">   Clean restore from versions</t>
        </is>
      </c>
      <c r="B28" s="27" t="n">
        <v>0.85</v>
      </c>
      <c r="C28" s="20" t="n">
        <v>250000</v>
      </c>
      <c r="D28" s="30">
        <f>B28*C28</f>
        <v/>
      </c>
    </row>
    <row r="29">
      <c r="A29" t="inlineStr">
        <is>
          <t xml:space="preserve">   Restore fails</t>
        </is>
      </c>
      <c r="B29" s="27" t="n">
        <v>0.15</v>
      </c>
      <c r="C29" s="20" t="n">
        <v>1441544.1</v>
      </c>
      <c r="D29" s="30">
        <f>B29*C29</f>
        <v/>
      </c>
    </row>
    <row r="30">
      <c r="A30" s="12" t="inlineStr">
        <is>
          <t>EMV B = cost + P(attack) × Σ weighted</t>
        </is>
      </c>
      <c r="C30" s="30" t="n"/>
      <c r="D30" s="21">
        <f>C27+$B$19*SUM(D28:D29)</f>
        <v/>
      </c>
    </row>
    <row r="31">
      <c r="C31" s="30" t="n"/>
      <c r="D31" s="30" t="n"/>
    </row>
    <row r="32">
      <c r="A32" s="12" t="inlineStr">
        <is>
          <t>Saving from choosing B</t>
        </is>
      </c>
      <c r="C32" s="30" t="n"/>
      <c r="D32" s="31">
        <f>D25-D30</f>
        <v/>
      </c>
    </row>
    <row r="33">
      <c r="A33" t="inlineStr">
        <is>
          <t>Decision</t>
        </is>
      </c>
      <c r="C33" s="30" t="n"/>
      <c r="D33" s="21">
        <f>IF(D30&lt;D25,"Choose B — invest","Choose A — accept")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70" customWidth="1" min="4" max="4"/>
    <col width="8" customWidth="1" min="5" max="5"/>
  </cols>
  <sheetData>
    <row r="1">
      <c r="A1" s="1" t="inlineStr">
        <is>
          <t>CIS-aligned Azure checklist</t>
        </is>
      </c>
    </row>
    <row r="2">
      <c r="A2" s="2" t="inlineStr">
        <is>
          <t>Run October 13, 2026 with read-only Azure CLI / Graph queries · re-run monthly and add a new results column</t>
        </is>
      </c>
    </row>
    <row r="4">
      <c r="A4" s="3" t="inlineStr">
        <is>
          <t>Area</t>
        </is>
      </c>
      <c r="B4" s="3" t="inlineStr">
        <is>
          <t>Check</t>
        </is>
      </c>
      <c r="C4" s="3" t="inlineStr">
        <is>
          <t>Result October 13, 2026</t>
        </is>
      </c>
      <c r="D4" s="3" t="inlineStr">
        <is>
          <t>Evidence</t>
        </is>
      </c>
      <c r="E4" s="3" t="inlineStr">
        <is>
          <t>Risk</t>
        </is>
      </c>
    </row>
    <row r="5">
      <c r="A5" s="4" t="inlineStr">
        <is>
          <t>Identity</t>
        </is>
      </c>
      <c r="B5" s="4" t="inlineStr">
        <is>
          <t>MFA required for all users</t>
        </is>
      </c>
      <c r="C5" s="32" t="inlineStr">
        <is>
          <t>Pass</t>
        </is>
      </c>
      <c r="D5" s="4" t="inlineStr">
        <is>
          <t>Security defaults enforced; device-code sign-in blocked with AADSTS530035 during az login</t>
        </is>
      </c>
      <c r="E5" s="4" t="inlineStr"/>
    </row>
    <row r="6">
      <c r="A6" s="4" t="inlineStr">
        <is>
          <t>Identity</t>
        </is>
      </c>
      <c r="B6" s="4" t="inlineStr">
        <is>
          <t>Between 2 and 4 Global Administrators</t>
        </is>
      </c>
      <c r="C6" s="33" t="inlineStr">
        <is>
          <t>Fail</t>
        </is>
      </c>
      <c r="D6" s="4" t="inlineStr">
        <is>
          <t>directoryRoles: Global Administrator = 1 member (Sabitha S Karanavar)</t>
        </is>
      </c>
      <c r="E6" s="4" t="inlineStr">
        <is>
          <t>R04</t>
        </is>
      </c>
    </row>
    <row r="7">
      <c r="A7" s="4" t="inlineStr">
        <is>
          <t>Identity</t>
        </is>
      </c>
      <c r="B7" s="4" t="inlineStr">
        <is>
          <t>Guest invitations restricted to admins</t>
        </is>
      </c>
      <c r="C7" s="33" t="inlineStr">
        <is>
          <t>Fail</t>
        </is>
      </c>
      <c r="D7" s="4" t="inlineStr">
        <is>
          <t>authorizationPolicy.allowInvitesFrom = everyone</t>
        </is>
      </c>
      <c r="E7" s="4" t="inlineStr">
        <is>
          <t>R08</t>
        </is>
      </c>
    </row>
    <row r="8">
      <c r="A8" s="4" t="inlineStr">
        <is>
          <t>Identity</t>
        </is>
      </c>
      <c r="B8" s="4" t="inlineStr">
        <is>
          <t>Users cannot register applications</t>
        </is>
      </c>
      <c r="C8" s="33" t="inlineStr">
        <is>
          <t>Fail</t>
        </is>
      </c>
      <c r="D8" s="4" t="inlineStr">
        <is>
          <t>defaultUserRolePermissions.allowedToCreateApps = true</t>
        </is>
      </c>
      <c r="E8" s="4" t="inlineStr">
        <is>
          <t>R08</t>
        </is>
      </c>
    </row>
    <row r="9">
      <c r="A9" s="4" t="inlineStr">
        <is>
          <t>Identity</t>
        </is>
      </c>
      <c r="B9" s="4" t="inlineStr">
        <is>
          <t>Users cannot create tenants</t>
        </is>
      </c>
      <c r="C9" s="33" t="inlineStr">
        <is>
          <t>Fail</t>
        </is>
      </c>
      <c r="D9" s="4" t="inlineStr">
        <is>
          <t>defaultUserRolePermissions.allowedToCreateTenants = true</t>
        </is>
      </c>
      <c r="E9" s="4" t="inlineStr">
        <is>
          <t>R08</t>
        </is>
      </c>
    </row>
    <row r="10">
      <c r="A10" s="4" t="inlineStr">
        <is>
          <t>Identity</t>
        </is>
      </c>
      <c r="B10" s="4" t="inlineStr">
        <is>
          <t>No unreviewed guest accounts</t>
        </is>
      </c>
      <c r="C10" s="32" t="inlineStr">
        <is>
          <t>Pass</t>
        </is>
      </c>
      <c r="D10" s="4" t="inlineStr">
        <is>
          <t>az ad user list --filter "userType eq 'Guest'" returned 0</t>
        </is>
      </c>
      <c r="E10" s="4" t="inlineStr"/>
    </row>
    <row r="11">
      <c r="A11" s="4" t="inlineStr">
        <is>
          <t>Identity</t>
        </is>
      </c>
      <c r="B11" s="4" t="inlineStr">
        <is>
          <t>Custom roles grant least privilege</t>
        </is>
      </c>
      <c r="C11" s="32" t="inlineStr">
        <is>
          <t>Pass</t>
        </is>
      </c>
      <c r="D11" s="4" t="inlineStr">
        <is>
          <t>HVMC-Nurse-EHR-ReadOnly: 3 read-only storage actions</t>
        </is>
      </c>
      <c r="E11" s="4" t="inlineStr"/>
    </row>
    <row r="12">
      <c r="A12" s="4" t="inlineStr">
        <is>
          <t>Identity</t>
        </is>
      </c>
      <c r="B12" s="4" t="inlineStr">
        <is>
          <t>No test or shared accounts in production</t>
        </is>
      </c>
      <c r="C12" s="33" t="inlineStr">
        <is>
          <t>Fail</t>
        </is>
      </c>
      <c r="D12" s="4" t="inlineStr">
        <is>
          <t>Test Nurse - EHR has role on hvmcehrstorage</t>
        </is>
      </c>
      <c r="E12" s="4" t="inlineStr">
        <is>
          <t>R07</t>
        </is>
      </c>
    </row>
    <row r="13">
      <c r="A13" s="4" t="inlineStr">
        <is>
          <t>Defender</t>
        </is>
      </c>
      <c r="B13" s="4" t="inlineStr">
        <is>
          <t>Defender for Storage enabled</t>
        </is>
      </c>
      <c r="C13" s="33" t="inlineStr">
        <is>
          <t>Fail</t>
        </is>
      </c>
      <c r="D13" s="4" t="inlineStr">
        <is>
          <t>az security pricing list: StorageAccounts = Free</t>
        </is>
      </c>
      <c r="E13" s="4" t="inlineStr">
        <is>
          <t>R11</t>
        </is>
      </c>
    </row>
    <row r="14">
      <c r="A14" s="4" t="inlineStr">
        <is>
          <t>Defender</t>
        </is>
      </c>
      <c r="B14" s="4" t="inlineStr">
        <is>
          <t>Security contact email configured</t>
        </is>
      </c>
      <c r="C14" s="33" t="inlineStr">
        <is>
          <t>Fail</t>
        </is>
      </c>
      <c r="D14" s="4" t="inlineStr">
        <is>
          <t>az security contact list returned 0</t>
        </is>
      </c>
      <c r="E14" s="4" t="inlineStr">
        <is>
          <t>R11</t>
        </is>
      </c>
    </row>
    <row r="15">
      <c r="A15" s="4" t="inlineStr">
        <is>
          <t>Defender</t>
        </is>
      </c>
      <c r="B15" s="4" t="inlineStr">
        <is>
          <t>Default security policy assigned</t>
        </is>
      </c>
      <c r="C15" s="32" t="inlineStr">
        <is>
          <t>Pass</t>
        </is>
      </c>
      <c r="D15" s="4" t="inlineStr">
        <is>
          <t>Policy assignment: ASC Default</t>
        </is>
      </c>
      <c r="E15" s="4" t="inlineStr"/>
    </row>
    <row r="16">
      <c r="A16" s="4" t="inlineStr">
        <is>
          <t>Storage</t>
        </is>
      </c>
      <c r="B16" s="4" t="inlineStr">
        <is>
          <t>Secure transfer (HTTPS) required</t>
        </is>
      </c>
      <c r="C16" s="32" t="inlineStr">
        <is>
          <t>Pass</t>
        </is>
      </c>
      <c r="D16" s="4" t="inlineStr">
        <is>
          <t>enableHttpsTrafficOnly = true</t>
        </is>
      </c>
      <c r="E16" s="4" t="inlineStr"/>
    </row>
    <row r="17">
      <c r="A17" s="4" t="inlineStr">
        <is>
          <t>Storage</t>
        </is>
      </c>
      <c r="B17" s="4" t="inlineStr">
        <is>
          <t>Minimum TLS version 1.2</t>
        </is>
      </c>
      <c r="C17" s="32" t="inlineStr">
        <is>
          <t>Pass</t>
        </is>
      </c>
      <c r="D17" s="4" t="inlineStr">
        <is>
          <t>minimumTlsVersion = TLS1_2</t>
        </is>
      </c>
      <c r="E17" s="4" t="inlineStr"/>
    </row>
    <row r="18">
      <c r="A18" s="4" t="inlineStr">
        <is>
          <t>Storage</t>
        </is>
      </c>
      <c r="B18" s="4" t="inlineStr">
        <is>
          <t>Anonymous blob access disabled</t>
        </is>
      </c>
      <c r="C18" s="32" t="inlineStr">
        <is>
          <t>Pass</t>
        </is>
      </c>
      <c r="D18" s="4" t="inlineStr">
        <is>
          <t>allowBlobPublicAccess = false</t>
        </is>
      </c>
      <c r="E18" s="4" t="inlineStr"/>
    </row>
    <row r="19">
      <c r="A19" s="4" t="inlineStr">
        <is>
          <t>Storage</t>
        </is>
      </c>
      <c r="B19" s="4" t="inlineStr">
        <is>
          <t>Default network access rule is Deny</t>
        </is>
      </c>
      <c r="C19" s="33" t="inlineStr">
        <is>
          <t>Fail</t>
        </is>
      </c>
      <c r="D19" s="4" t="inlineStr">
        <is>
          <t>networkRuleSet.defaultAction = Allow; publicNetworkAccess = Enabled</t>
        </is>
      </c>
      <c r="E19" s="4" t="inlineStr">
        <is>
          <t>R02</t>
        </is>
      </c>
    </row>
    <row r="20">
      <c r="A20" s="4" t="inlineStr">
        <is>
          <t>Storage</t>
        </is>
      </c>
      <c r="B20" s="4" t="inlineStr">
        <is>
          <t>Shared key access disabled</t>
        </is>
      </c>
      <c r="C20" s="33" t="inlineStr">
        <is>
          <t>Fail</t>
        </is>
      </c>
      <c r="D20" s="4" t="inlineStr">
        <is>
          <t>allowSharedKeyAccess = true</t>
        </is>
      </c>
      <c r="E20" s="4" t="inlineStr">
        <is>
          <t>R02</t>
        </is>
      </c>
    </row>
    <row r="21">
      <c r="A21" s="4" t="inlineStr">
        <is>
          <t>Storage</t>
        </is>
      </c>
      <c r="B21" s="4" t="inlineStr">
        <is>
          <t>Blob soft delete enabled</t>
        </is>
      </c>
      <c r="C21" s="32" t="inlineStr">
        <is>
          <t>Pass</t>
        </is>
      </c>
      <c r="D21" s="4" t="inlineStr">
        <is>
          <t>deleteRetentionPolicy enabled, 7 days (recommend 14–30)</t>
        </is>
      </c>
      <c r="E21" s="4" t="inlineStr"/>
    </row>
    <row r="22">
      <c r="A22" s="4" t="inlineStr">
        <is>
          <t>Storage</t>
        </is>
      </c>
      <c r="B22" s="4" t="inlineStr">
        <is>
          <t>Blob versioning enabled</t>
        </is>
      </c>
      <c r="C22" s="33" t="inlineStr">
        <is>
          <t>Fail</t>
        </is>
      </c>
      <c r="D22" s="4" t="inlineStr">
        <is>
          <t>isVersioningEnabled = null</t>
        </is>
      </c>
      <c r="E22" s="4" t="inlineStr">
        <is>
          <t>R05</t>
        </is>
      </c>
    </row>
    <row r="23">
      <c r="A23" s="4" t="inlineStr">
        <is>
          <t>Storage</t>
        </is>
      </c>
      <c r="B23" s="4" t="inlineStr">
        <is>
          <t>Geo-redundant replication</t>
        </is>
      </c>
      <c r="C23" s="32" t="inlineStr">
        <is>
          <t>Pass</t>
        </is>
      </c>
      <c r="D23" s="4" t="inlineStr">
        <is>
          <t>sku = Standard_RAGRS</t>
        </is>
      </c>
      <c r="E23" s="4" t="inlineStr"/>
    </row>
    <row r="24">
      <c r="A24" s="4" t="inlineStr">
        <is>
          <t>Logging</t>
        </is>
      </c>
      <c r="B24" s="4" t="inlineStr">
        <is>
          <t>Activity log sent to Log Analytics</t>
        </is>
      </c>
      <c r="C24" s="33" t="inlineStr">
        <is>
          <t>Fail</t>
        </is>
      </c>
      <c r="D24" s="4" t="inlineStr">
        <is>
          <t>0 subscription diagnostic settings; 0 Log Analytics workspaces</t>
        </is>
      </c>
      <c r="E24" s="4" t="inlineStr">
        <is>
          <t>R01</t>
        </is>
      </c>
    </row>
    <row r="25">
      <c r="A25" s="4" t="inlineStr">
        <is>
          <t>Logging</t>
        </is>
      </c>
      <c r="B25" s="4" t="inlineStr">
        <is>
          <t>Alerts for NSG / policy / security changes</t>
        </is>
      </c>
      <c r="C25" s="33" t="inlineStr">
        <is>
          <t>Fail</t>
        </is>
      </c>
      <c r="D25" s="4" t="inlineStr">
        <is>
          <t>az monitor activity-log alert list returned 0</t>
        </is>
      </c>
      <c r="E25" s="4" t="inlineStr">
        <is>
          <t>R01</t>
        </is>
      </c>
    </row>
    <row r="26">
      <c r="A26" s="4" t="inlineStr">
        <is>
          <t>Logging</t>
        </is>
      </c>
      <c r="B26" s="4" t="inlineStr">
        <is>
          <t>Network Watcher enabled in region</t>
        </is>
      </c>
      <c r="C26" s="32" t="inlineStr">
        <is>
          <t>Pass</t>
        </is>
      </c>
      <c r="D26" s="4" t="inlineStr">
        <is>
          <t>Network Watcher present in eastus</t>
        </is>
      </c>
      <c r="E26" s="4" t="inlineStr"/>
    </row>
    <row r="27">
      <c r="A27" s="4" t="inlineStr">
        <is>
          <t>Logging</t>
        </is>
      </c>
      <c r="B27" s="4" t="inlineStr">
        <is>
          <t>NSG / VNet flow logs enabled</t>
        </is>
      </c>
      <c r="C27" s="33" t="inlineStr">
        <is>
          <t>Fail</t>
        </is>
      </c>
      <c r="D27" s="4" t="inlineStr">
        <is>
          <t>az network watcher flow-log list returned 0</t>
        </is>
      </c>
      <c r="E27" s="4" t="inlineStr">
        <is>
          <t>R01</t>
        </is>
      </c>
    </row>
    <row r="28">
      <c r="A28" s="4" t="inlineStr">
        <is>
          <t>Network</t>
        </is>
      </c>
      <c r="B28" s="4" t="inlineStr">
        <is>
          <t>No RDP/SSH open to the internet</t>
        </is>
      </c>
      <c r="C28" s="32" t="inlineStr">
        <is>
          <t>Pass</t>
        </is>
      </c>
      <c r="D28" s="4" t="inlineStr">
        <is>
          <t>Only inbound internet rule is TCP 443 on HVMC-Web-NSG</t>
        </is>
      </c>
      <c r="E28" s="4" t="inlineStr"/>
    </row>
    <row r="29">
      <c r="A29" s="4" t="inlineStr">
        <is>
          <t>Network</t>
        </is>
      </c>
      <c r="B29" s="4" t="inlineStr">
        <is>
          <t>Admin access through Azure Bastion</t>
        </is>
      </c>
      <c r="C29" s="32" t="inlineStr">
        <is>
          <t>Pass</t>
        </is>
      </c>
      <c r="D29" s="4" t="inlineStr">
        <is>
          <t>HVMC-Bastion in AzureBastionSubnet 10.0.4.0/26</t>
        </is>
      </c>
      <c r="E29" s="4" t="inlineStr"/>
    </row>
    <row r="30">
      <c r="A30" s="4" t="inlineStr">
        <is>
          <t>Network</t>
        </is>
      </c>
      <c r="B30" s="4" t="inlineStr">
        <is>
          <t>Tiers isolated (explicit deny between subnets)</t>
        </is>
      </c>
      <c r="C30" s="33" t="inlineStr">
        <is>
          <t>Fail</t>
        </is>
      </c>
      <c r="D30" s="4" t="inlineStr">
        <is>
          <t>HVMC-Data-NSG relies on default AllowVnetInBound</t>
        </is>
      </c>
      <c r="E30" s="4" t="inlineStr">
        <is>
          <t>R03</t>
        </is>
      </c>
    </row>
    <row r="31">
      <c r="A31" s="4" t="inlineStr">
        <is>
          <t>Governance</t>
        </is>
      </c>
      <c r="B31" s="4" t="inlineStr">
        <is>
          <t>Resource locks on production</t>
        </is>
      </c>
      <c r="C31" s="33" t="inlineStr">
        <is>
          <t>Fail</t>
        </is>
      </c>
      <c r="D31" s="4" t="inlineStr">
        <is>
          <t>az lock list returned 0</t>
        </is>
      </c>
      <c r="E31" s="4" t="inlineStr">
        <is>
          <t>R15</t>
        </is>
      </c>
    </row>
    <row r="33">
      <c r="B33" s="12" t="inlineStr">
        <is>
          <t>Pass</t>
        </is>
      </c>
      <c r="C33">
        <f>COUNTIF(C5:C31,"Pass")</f>
        <v/>
      </c>
    </row>
    <row r="34">
      <c r="B34" s="12" t="inlineStr">
        <is>
          <t>Fail</t>
        </is>
      </c>
      <c r="C34">
        <f>COUNTIF(C5:C31,"Fail")</f>
        <v/>
      </c>
    </row>
    <row r="35">
      <c r="B35" s="12" t="inlineStr">
        <is>
          <t>Compliance %</t>
        </is>
      </c>
      <c r="C35" s="34">
        <f>C33/(C33+C34)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11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60" customWidth="1" min="4" max="4"/>
    <col width="18" customWidth="1" min="5" max="5"/>
    <col width="24" customWidth="1" min="6" max="6"/>
  </cols>
  <sheetData>
    <row r="1">
      <c r="A1" s="1" t="inlineStr">
        <is>
          <t>Scoring scales</t>
        </is>
      </c>
    </row>
    <row r="2">
      <c r="A2" s="2" t="inlineStr">
        <is>
          <t>Use these definitions so every reviewer scores consistently. Impact = worst of the four impact columns.</t>
        </is>
      </c>
    </row>
    <row r="4">
      <c r="A4" s="3" t="inlineStr">
        <is>
          <t>Likelihood</t>
        </is>
      </c>
      <c r="B4" s="3" t="inlineStr">
        <is>
          <t>Level</t>
        </is>
      </c>
      <c r="C4" s="3" t="inlineStr">
        <is>
          <t>Annual probability</t>
        </is>
      </c>
      <c r="D4" s="3" t="inlineStr">
        <is>
          <t>Description</t>
        </is>
      </c>
    </row>
    <row r="5">
      <c r="A5" s="35" t="n">
        <v>1</v>
      </c>
      <c r="B5" s="35" t="inlineStr">
        <is>
          <t>Rare</t>
        </is>
      </c>
      <c r="C5" s="35" t="inlineStr">
        <is>
          <t>&lt; 5% per year (once in 20+ years)</t>
        </is>
      </c>
      <c r="D5" s="35" t="inlineStr">
        <is>
          <t>No known threat activity; strong preventive controls</t>
        </is>
      </c>
    </row>
    <row r="6">
      <c r="A6" s="35" t="n">
        <v>2</v>
      </c>
      <c r="B6" s="35" t="inlineStr">
        <is>
          <t>Unlikely</t>
        </is>
      </c>
      <c r="C6" s="35" t="inlineStr">
        <is>
          <t>5–20% per year</t>
        </is>
      </c>
      <c r="D6" s="35" t="inlineStr">
        <is>
          <t>Possible but requires uncommon conditions or skill</t>
        </is>
      </c>
    </row>
    <row r="7">
      <c r="A7" s="35" t="n">
        <v>3</v>
      </c>
      <c r="B7" s="35" t="inlineStr">
        <is>
          <t>Possible</t>
        </is>
      </c>
      <c r="C7" s="35" t="inlineStr">
        <is>
          <t>20–50% per year</t>
        </is>
      </c>
      <c r="D7" s="35" t="inlineStr">
        <is>
          <t>Seen in healthcare peers; partial controls in place</t>
        </is>
      </c>
    </row>
    <row r="8">
      <c r="A8" s="35" t="n">
        <v>4</v>
      </c>
      <c r="B8" s="35" t="inlineStr">
        <is>
          <t>Likely</t>
        </is>
      </c>
      <c r="C8" s="35" t="inlineStr">
        <is>
          <t>50–90% per year</t>
        </is>
      </c>
      <c r="D8" s="35" t="inlineStr">
        <is>
          <t>Active threat campaigns; control missing or weak</t>
        </is>
      </c>
    </row>
    <row r="9">
      <c r="A9" s="35" t="n">
        <v>5</v>
      </c>
      <c r="B9" s="35" t="inlineStr">
        <is>
          <t>Almost certain</t>
        </is>
      </c>
      <c r="C9" s="35" t="inlineStr">
        <is>
          <t>&gt; 90% per year (multiple times)</t>
        </is>
      </c>
      <c r="D9" s="35" t="inlineStr">
        <is>
          <t>Already occurring or trivially exploitable</t>
        </is>
      </c>
    </row>
    <row r="12">
      <c r="A12" s="28" t="inlineStr">
        <is>
          <t>Impact</t>
        </is>
      </c>
      <c r="B12" s="28" t="inlineStr">
        <is>
          <t>Level</t>
        </is>
      </c>
      <c r="C12" s="28" t="inlineStr">
        <is>
          <t>Financial</t>
        </is>
      </c>
      <c r="D12" s="28" t="inlineStr">
        <is>
          <t>ePHI records</t>
        </is>
      </c>
      <c r="E12" s="28" t="inlineStr">
        <is>
          <t>Downtime</t>
        </is>
      </c>
      <c r="F12" s="28" t="inlineStr">
        <is>
          <t>Patient safety</t>
        </is>
      </c>
    </row>
    <row r="13">
      <c r="A13" s="35" t="n">
        <v>1</v>
      </c>
      <c r="B13" s="35" t="inlineStr">
        <is>
          <t>Negligible</t>
        </is>
      </c>
      <c r="C13" s="35" t="inlineStr">
        <is>
          <t>&lt; $10K</t>
        </is>
      </c>
      <c r="D13" s="35" t="inlineStr">
        <is>
          <t>No PHI</t>
        </is>
      </c>
      <c r="E13" s="35" t="inlineStr">
        <is>
          <t>&lt; 1 hour</t>
        </is>
      </c>
      <c r="F13" s="35" t="inlineStr">
        <is>
          <t>None</t>
        </is>
      </c>
    </row>
    <row r="14">
      <c r="A14" s="35" t="n">
        <v>2</v>
      </c>
      <c r="B14" s="35" t="inlineStr">
        <is>
          <t>Minor</t>
        </is>
      </c>
      <c r="C14" s="35" t="inlineStr">
        <is>
          <t>$10K–$100K</t>
        </is>
      </c>
      <c r="D14" s="35" t="inlineStr">
        <is>
          <t>&lt; 50 records</t>
        </is>
      </c>
      <c r="E14" s="35" t="inlineStr">
        <is>
          <t>1–4 hours</t>
        </is>
      </c>
      <c r="F14" s="35" t="inlineStr">
        <is>
          <t>None</t>
        </is>
      </c>
    </row>
    <row r="15">
      <c r="A15" s="35" t="n">
        <v>3</v>
      </c>
      <c r="B15" s="35" t="inlineStr">
        <is>
          <t>Moderate</t>
        </is>
      </c>
      <c r="C15" s="35" t="inlineStr">
        <is>
          <t>$100K–$500K</t>
        </is>
      </c>
      <c r="D15" s="35" t="inlineStr">
        <is>
          <t>50–499 records</t>
        </is>
      </c>
      <c r="E15" s="35" t="inlineStr">
        <is>
          <t>4–24 hours</t>
        </is>
      </c>
      <c r="F15" s="35" t="inlineStr">
        <is>
          <t>Care delayed, no harm</t>
        </is>
      </c>
    </row>
    <row r="16">
      <c r="A16" s="35" t="n">
        <v>4</v>
      </c>
      <c r="B16" s="35" t="inlineStr">
        <is>
          <t>Major</t>
        </is>
      </c>
      <c r="C16" s="35" t="inlineStr">
        <is>
          <t>$500K–$2M</t>
        </is>
      </c>
      <c r="D16" s="35" t="inlineStr">
        <is>
          <t>500–9,999 records (HHS + media notice)</t>
        </is>
      </c>
      <c r="E16" s="35" t="inlineStr">
        <is>
          <t>1–3 days</t>
        </is>
      </c>
      <c r="F16" s="35" t="inlineStr">
        <is>
          <t>Possible temporary harm</t>
        </is>
      </c>
    </row>
    <row r="17">
      <c r="A17" s="35" t="n">
        <v>5</v>
      </c>
      <c r="B17" s="35" t="inlineStr">
        <is>
          <t>Severe</t>
        </is>
      </c>
      <c r="C17" s="35" t="inlineStr">
        <is>
          <t>&gt; $2M</t>
        </is>
      </c>
      <c r="D17" s="35" t="inlineStr">
        <is>
          <t>10,000+ records</t>
        </is>
      </c>
      <c r="E17" s="35" t="inlineStr">
        <is>
          <t>&gt; 3 days EHR outage</t>
        </is>
      </c>
      <c r="F17" s="35" t="inlineStr">
        <is>
          <t>Serious patient harm</t>
        </is>
      </c>
    </row>
    <row r="19">
      <c r="A19" s="7" t="inlineStr">
        <is>
          <t>Rating bands</t>
        </is>
      </c>
    </row>
    <row r="20">
      <c r="A20" s="8" t="inlineStr">
        <is>
          <t>Critical</t>
        </is>
      </c>
      <c r="B20" t="inlineStr">
        <is>
          <t>20–25: never accepted; escalate within 24 h</t>
        </is>
      </c>
    </row>
    <row r="21">
      <c r="A21" s="9" t="inlineStr">
        <is>
          <t>High</t>
        </is>
      </c>
      <c r="B21" t="inlineStr">
        <is>
          <t>12–19: treatment plan within 7 days</t>
        </is>
      </c>
    </row>
    <row r="22">
      <c r="A22" s="10" t="inlineStr">
        <is>
          <t>Medium</t>
        </is>
      </c>
      <c r="B22" t="inlineStr">
        <is>
          <t>6–11: treat within 90 days or formally accept</t>
        </is>
      </c>
    </row>
    <row r="23">
      <c r="A23" s="11" t="inlineStr">
        <is>
          <t>Low</t>
        </is>
      </c>
      <c r="B23" t="inlineStr">
        <is>
          <t>1–5: monitor, review annually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2026-10-13T18:14:23Z</dcterms:created>
  <dcterms:modified xsi:type="dcterms:W3CDTF">2026-10-13T18:14:23Z</dcterms:modified>
</cp:coreProperties>
</file>